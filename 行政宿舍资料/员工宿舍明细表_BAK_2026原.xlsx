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AI工作目录\AI编程开发\JINGE开发\宿舍管理系统\行政宿舍资料\"/>
    </mc:Choice>
  </mc:AlternateContent>
  <xr:revisionPtr revIDLastSave="0" documentId="13_ncr:1_{1DA9F04A-3E8C-464F-BB98-3172FEDF19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花名册" sheetId="36" r:id="rId1"/>
    <sheet name="入住明细" sheetId="35" r:id="rId2"/>
    <sheet name="宿舍档案" sheetId="39" r:id="rId3"/>
    <sheet name="考勤班次" sheetId="40" r:id="rId4"/>
    <sheet name="员工班组" sheetId="41" r:id="rId5"/>
    <sheet name="部门" sheetId="42" r:id="rId6"/>
    <sheet name="6月 " sheetId="34" r:id="rId7"/>
    <sheet name="Sheet3" sheetId="38" r:id="rId8"/>
    <sheet name="BAK" sheetId="37" r:id="rId9"/>
    <sheet name="Sheet7" sheetId="44" r:id="rId10"/>
  </sheets>
  <definedNames>
    <definedName name="_xlnm._FilterDatabase" localSheetId="6" hidden="1">'6月 '!$B$2:$M$406</definedName>
    <definedName name="_xlnm._FilterDatabase" localSheetId="1" hidden="1">入住明细!$C$1:$K$405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35" l="1"/>
  <c r="K4" i="35"/>
  <c r="K5" i="35"/>
  <c r="K6" i="35"/>
  <c r="K7" i="35"/>
  <c r="K8" i="35"/>
  <c r="K9" i="35"/>
  <c r="K10" i="35"/>
  <c r="K11" i="35"/>
  <c r="K12" i="35"/>
  <c r="K13" i="35"/>
  <c r="K14" i="35"/>
  <c r="K15" i="35"/>
  <c r="K16" i="35"/>
  <c r="K17" i="35"/>
  <c r="K18" i="35"/>
  <c r="K19" i="35"/>
  <c r="K20" i="35"/>
  <c r="K21" i="35"/>
  <c r="K22" i="35"/>
  <c r="K23" i="35"/>
  <c r="K24" i="35"/>
  <c r="K25" i="35"/>
  <c r="K26" i="35"/>
  <c r="K27" i="35"/>
  <c r="K28" i="35"/>
  <c r="K29" i="35"/>
  <c r="K30" i="35"/>
  <c r="K31" i="35"/>
  <c r="K32" i="35"/>
  <c r="K33" i="35"/>
  <c r="K34" i="35"/>
  <c r="K35" i="35"/>
  <c r="K36" i="35"/>
  <c r="K37" i="35"/>
  <c r="K38" i="35"/>
  <c r="K39" i="35"/>
  <c r="K40" i="35"/>
  <c r="K41" i="35"/>
  <c r="K42" i="35"/>
  <c r="K43" i="35"/>
  <c r="K44" i="35"/>
  <c r="K45" i="35"/>
  <c r="K46" i="35"/>
  <c r="K47" i="35"/>
  <c r="K48" i="35"/>
  <c r="K49" i="35"/>
  <c r="K50" i="35"/>
  <c r="K51" i="35"/>
  <c r="K52" i="35"/>
  <c r="K53" i="35"/>
  <c r="K54" i="35"/>
  <c r="K55" i="35"/>
  <c r="K56" i="35"/>
  <c r="K57" i="35"/>
  <c r="K58" i="35"/>
  <c r="K59" i="35"/>
  <c r="K60" i="35"/>
  <c r="K61" i="35"/>
  <c r="K62" i="35"/>
  <c r="K63" i="35"/>
  <c r="K64" i="35"/>
  <c r="K65" i="35"/>
  <c r="K66" i="35"/>
  <c r="K67" i="35"/>
  <c r="K68" i="35"/>
  <c r="K69" i="35"/>
  <c r="K70" i="35"/>
  <c r="K71" i="35"/>
  <c r="K72" i="35"/>
  <c r="K73" i="35"/>
  <c r="K74" i="35"/>
  <c r="K75" i="35"/>
  <c r="K76" i="35"/>
  <c r="K77" i="35"/>
  <c r="K78" i="35"/>
  <c r="K79" i="35"/>
  <c r="K80" i="35"/>
  <c r="K81" i="35"/>
  <c r="K82" i="35"/>
  <c r="K83" i="35"/>
  <c r="K84" i="35"/>
  <c r="K85" i="35"/>
  <c r="K86" i="35"/>
  <c r="K87" i="35"/>
  <c r="K88" i="35"/>
  <c r="K89" i="35"/>
  <c r="K90" i="35"/>
  <c r="K91" i="35"/>
  <c r="K92" i="35"/>
  <c r="K93" i="35"/>
  <c r="K94" i="35"/>
  <c r="K95" i="35"/>
  <c r="K96" i="35"/>
  <c r="K97" i="35"/>
  <c r="K98" i="35"/>
  <c r="K99" i="35"/>
  <c r="K100" i="35"/>
  <c r="K101" i="35"/>
  <c r="K102" i="35"/>
  <c r="K103" i="35"/>
  <c r="K104" i="35"/>
  <c r="K105" i="35"/>
  <c r="K106" i="35"/>
  <c r="K107" i="35"/>
  <c r="K108" i="35"/>
  <c r="K109" i="35"/>
  <c r="K110" i="35"/>
  <c r="K111" i="35"/>
  <c r="K112" i="35"/>
  <c r="K113" i="35"/>
  <c r="K114" i="35"/>
  <c r="K115" i="35"/>
  <c r="K116" i="35"/>
  <c r="K117" i="35"/>
  <c r="K118" i="35"/>
  <c r="K119" i="35"/>
  <c r="K120" i="35"/>
  <c r="K121" i="35"/>
  <c r="K122" i="35"/>
  <c r="K123" i="35"/>
  <c r="K124" i="35"/>
  <c r="K125" i="35"/>
  <c r="K126" i="35"/>
  <c r="K127" i="35"/>
  <c r="K128" i="35"/>
  <c r="K129" i="35"/>
  <c r="K130" i="35"/>
  <c r="K131" i="35"/>
  <c r="K132" i="35"/>
  <c r="K133" i="35"/>
  <c r="K134" i="35"/>
  <c r="K135" i="35"/>
  <c r="K136" i="35"/>
  <c r="K137" i="35"/>
  <c r="K138" i="35"/>
  <c r="K139" i="35"/>
  <c r="K140" i="35"/>
  <c r="K141" i="35"/>
  <c r="K142" i="35"/>
  <c r="K143" i="35"/>
  <c r="K144" i="35"/>
  <c r="K145" i="35"/>
  <c r="K146" i="35"/>
  <c r="K147" i="35"/>
  <c r="K148" i="35"/>
  <c r="K149" i="35"/>
  <c r="K150" i="35"/>
  <c r="K151" i="35"/>
  <c r="K152" i="35"/>
  <c r="K153" i="35"/>
  <c r="K154" i="35"/>
  <c r="K155" i="35"/>
  <c r="K156" i="35"/>
  <c r="K157" i="35"/>
  <c r="K158" i="35"/>
  <c r="K159" i="35"/>
  <c r="K160" i="35"/>
  <c r="K161" i="35"/>
  <c r="K162" i="35"/>
  <c r="K163" i="35"/>
  <c r="K164" i="35"/>
  <c r="K165" i="35"/>
  <c r="K166" i="35"/>
  <c r="K167" i="35"/>
  <c r="K168" i="35"/>
  <c r="K169" i="35"/>
  <c r="K170" i="35"/>
  <c r="K171" i="35"/>
  <c r="K172" i="35"/>
  <c r="K173" i="35"/>
  <c r="K174" i="35"/>
  <c r="K175" i="35"/>
  <c r="K176" i="35"/>
  <c r="K177" i="35"/>
  <c r="K178" i="35"/>
  <c r="K179" i="35"/>
  <c r="K180" i="35"/>
  <c r="K181" i="35"/>
  <c r="K182" i="35"/>
  <c r="K183" i="35"/>
  <c r="K184" i="35"/>
  <c r="K185" i="35"/>
  <c r="K186" i="35"/>
  <c r="K187" i="35"/>
  <c r="K188" i="35"/>
  <c r="K189" i="35"/>
  <c r="K190" i="35"/>
  <c r="K191" i="35"/>
  <c r="K192" i="35"/>
  <c r="K193" i="35"/>
  <c r="K194" i="35"/>
  <c r="K195" i="35"/>
  <c r="K196" i="35"/>
  <c r="K197" i="35"/>
  <c r="K198" i="35"/>
  <c r="K199" i="35"/>
  <c r="K200" i="35"/>
  <c r="K201" i="35"/>
  <c r="K202" i="35"/>
  <c r="K203" i="35"/>
  <c r="K204" i="35"/>
  <c r="K205" i="35"/>
  <c r="K206" i="35"/>
  <c r="K207" i="35"/>
  <c r="K208" i="35"/>
  <c r="K209" i="35"/>
  <c r="K210" i="35"/>
  <c r="K211" i="35"/>
  <c r="K212" i="35"/>
  <c r="K213" i="35"/>
  <c r="K214" i="35"/>
  <c r="K215" i="35"/>
  <c r="K216" i="35"/>
  <c r="K217" i="35"/>
  <c r="K218" i="35"/>
  <c r="K219" i="35"/>
  <c r="K220" i="35"/>
  <c r="K221" i="35"/>
  <c r="K222" i="35"/>
  <c r="K223" i="35"/>
  <c r="K224" i="35"/>
  <c r="K225" i="35"/>
  <c r="K226" i="35"/>
  <c r="K227" i="35"/>
  <c r="K228" i="35"/>
  <c r="K229" i="35"/>
  <c r="K230" i="35"/>
  <c r="K231" i="35"/>
  <c r="K232" i="35"/>
  <c r="K233" i="35"/>
  <c r="K234" i="35"/>
  <c r="K235" i="35"/>
  <c r="K236" i="35"/>
  <c r="K237" i="35"/>
  <c r="K238" i="35"/>
  <c r="K239" i="35"/>
  <c r="K240" i="35"/>
  <c r="K241" i="35"/>
  <c r="K242" i="35"/>
  <c r="K243" i="35"/>
  <c r="K244" i="35"/>
  <c r="K245" i="35"/>
  <c r="K246" i="35"/>
  <c r="K247" i="35"/>
  <c r="K248" i="35"/>
  <c r="K249" i="35"/>
  <c r="K250" i="35"/>
  <c r="K251" i="35"/>
  <c r="K252" i="35"/>
  <c r="K253" i="35"/>
  <c r="K254" i="35"/>
  <c r="K255" i="35"/>
  <c r="K256" i="35"/>
  <c r="K257" i="35"/>
  <c r="K258" i="35"/>
  <c r="K259" i="35"/>
  <c r="K260" i="35"/>
  <c r="K261" i="35"/>
  <c r="K262" i="35"/>
  <c r="K263" i="35"/>
  <c r="K264" i="35"/>
  <c r="K265" i="35"/>
  <c r="K266" i="35"/>
  <c r="K267" i="35"/>
  <c r="K268" i="35"/>
  <c r="K269" i="35"/>
  <c r="K270" i="35"/>
  <c r="K271" i="35"/>
  <c r="K272" i="35"/>
  <c r="K273" i="35"/>
  <c r="K274" i="35"/>
  <c r="K275" i="35"/>
  <c r="K276" i="35"/>
  <c r="K277" i="35"/>
  <c r="K278" i="35"/>
  <c r="K279" i="35"/>
  <c r="K280" i="35"/>
  <c r="K281" i="35"/>
  <c r="K282" i="35"/>
  <c r="K283" i="35"/>
  <c r="K284" i="35"/>
  <c r="K2" i="35"/>
  <c r="D403" i="34"/>
  <c r="J403" i="34" s="1"/>
  <c r="K403" i="34" s="1"/>
  <c r="D399" i="34"/>
  <c r="J401" i="34" s="1"/>
  <c r="K401" i="34" s="1"/>
  <c r="D395" i="34"/>
  <c r="J398" i="34" s="1"/>
  <c r="K398" i="34" s="1"/>
  <c r="K394" i="34"/>
  <c r="K393" i="34"/>
  <c r="K392" i="34"/>
  <c r="K391" i="34"/>
  <c r="D391" i="34"/>
  <c r="K390" i="34"/>
  <c r="K389" i="34"/>
  <c r="K387" i="34"/>
  <c r="K384" i="34"/>
  <c r="K383" i="34"/>
  <c r="K382" i="34"/>
  <c r="D382" i="34"/>
  <c r="D378" i="34"/>
  <c r="J380" i="34" s="1"/>
  <c r="K380" i="34" s="1"/>
  <c r="D374" i="34"/>
  <c r="J372" i="34"/>
  <c r="K372" i="34" s="1"/>
  <c r="J371" i="34"/>
  <c r="K371" i="34" s="1"/>
  <c r="D370" i="34"/>
  <c r="J370" i="34" s="1"/>
  <c r="K370" i="34" s="1"/>
  <c r="J368" i="34"/>
  <c r="D366" i="34"/>
  <c r="J367" i="34" s="1"/>
  <c r="D362" i="34"/>
  <c r="D358" i="34"/>
  <c r="J361" i="34" s="1"/>
  <c r="K361" i="34" s="1"/>
  <c r="K357" i="34"/>
  <c r="K356" i="34"/>
  <c r="K355" i="34"/>
  <c r="K354" i="34"/>
  <c r="D354" i="34"/>
  <c r="D350" i="34"/>
  <c r="J351" i="34" s="1"/>
  <c r="K351" i="34" s="1"/>
  <c r="K349" i="34"/>
  <c r="K348" i="34"/>
  <c r="K347" i="34"/>
  <c r="K346" i="34"/>
  <c r="D346" i="34"/>
  <c r="J345" i="34"/>
  <c r="K345" i="34" s="1"/>
  <c r="J344" i="34"/>
  <c r="K344" i="34" s="1"/>
  <c r="J343" i="34"/>
  <c r="K343" i="34" s="1"/>
  <c r="J342" i="34"/>
  <c r="K342" i="34" s="1"/>
  <c r="D342" i="34"/>
  <c r="D338" i="34"/>
  <c r="J338" i="34" s="1"/>
  <c r="D334" i="34"/>
  <c r="J337" i="34" s="1"/>
  <c r="K337" i="34" s="1"/>
  <c r="K333" i="34"/>
  <c r="K332" i="34"/>
  <c r="K331" i="34"/>
  <c r="K330" i="34"/>
  <c r="D330" i="34"/>
  <c r="D326" i="34"/>
  <c r="J329" i="34" s="1"/>
  <c r="K329" i="34" s="1"/>
  <c r="D322" i="34"/>
  <c r="J325" i="34" s="1"/>
  <c r="K325" i="34" s="1"/>
  <c r="D318" i="34"/>
  <c r="J319" i="34" s="1"/>
  <c r="K319" i="34" s="1"/>
  <c r="D314" i="34"/>
  <c r="D310" i="34"/>
  <c r="J313" i="34" s="1"/>
  <c r="K313" i="34" s="1"/>
  <c r="D306" i="34"/>
  <c r="J309" i="34" s="1"/>
  <c r="D302" i="34"/>
  <c r="J303" i="34" s="1"/>
  <c r="K303" i="34" s="1"/>
  <c r="D298" i="34"/>
  <c r="J300" i="34" s="1"/>
  <c r="K300" i="34" s="1"/>
  <c r="D294" i="34"/>
  <c r="J296" i="34" s="1"/>
  <c r="K296" i="34" s="1"/>
  <c r="J291" i="34"/>
  <c r="K291" i="34" s="1"/>
  <c r="J290" i="34"/>
  <c r="K290" i="34" s="1"/>
  <c r="D290" i="34"/>
  <c r="D286" i="34"/>
  <c r="J287" i="34" s="1"/>
  <c r="D282" i="34"/>
  <c r="J285" i="34" s="1"/>
  <c r="K285" i="34" s="1"/>
  <c r="D278" i="34"/>
  <c r="D274" i="34"/>
  <c r="J274" i="34" s="1"/>
  <c r="K274" i="34" s="1"/>
  <c r="D270" i="34"/>
  <c r="J270" i="34" s="1"/>
  <c r="D266" i="34"/>
  <c r="J268" i="34" s="1"/>
  <c r="K265" i="34"/>
  <c r="K264" i="34"/>
  <c r="K263" i="34"/>
  <c r="K262" i="34"/>
  <c r="D262" i="34"/>
  <c r="D258" i="34"/>
  <c r="J260" i="34" s="1"/>
  <c r="K260" i="34" s="1"/>
  <c r="D254" i="34"/>
  <c r="J254" i="34" s="1"/>
  <c r="K254" i="34" s="1"/>
  <c r="D250" i="34"/>
  <c r="J250" i="34" s="1"/>
  <c r="K250" i="34" s="1"/>
  <c r="D246" i="34"/>
  <c r="J248" i="34" s="1"/>
  <c r="K248" i="34" s="1"/>
  <c r="D242" i="34"/>
  <c r="J242" i="34" s="1"/>
  <c r="D238" i="34"/>
  <c r="D236" i="34"/>
  <c r="J237" i="34" s="1"/>
  <c r="K237" i="34" s="1"/>
  <c r="D234" i="34"/>
  <c r="J234" i="34" s="1"/>
  <c r="K234" i="34" s="1"/>
  <c r="K233" i="34"/>
  <c r="J232" i="34"/>
  <c r="K232" i="34" s="1"/>
  <c r="D232" i="34"/>
  <c r="J233" i="34" s="1"/>
  <c r="D230" i="34"/>
  <c r="J230" i="34" s="1"/>
  <c r="K230" i="34" s="1"/>
  <c r="D228" i="34"/>
  <c r="J229" i="34" s="1"/>
  <c r="K229" i="34" s="1"/>
  <c r="D226" i="34"/>
  <c r="J226" i="34" s="1"/>
  <c r="K226" i="34" s="1"/>
  <c r="D224" i="34"/>
  <c r="J225" i="34" s="1"/>
  <c r="D222" i="34"/>
  <c r="J222" i="34" s="1"/>
  <c r="K222" i="34" s="1"/>
  <c r="D219" i="34"/>
  <c r="J220" i="34" s="1"/>
  <c r="K220" i="34" s="1"/>
  <c r="D217" i="34"/>
  <c r="J218" i="34" s="1"/>
  <c r="D215" i="34"/>
  <c r="J215" i="34" s="1"/>
  <c r="K215" i="34" s="1"/>
  <c r="K214" i="34"/>
  <c r="K213" i="34"/>
  <c r="D213" i="34"/>
  <c r="J211" i="34"/>
  <c r="D211" i="34"/>
  <c r="D209" i="34"/>
  <c r="J210" i="34" s="1"/>
  <c r="K210" i="34" s="1"/>
  <c r="D207" i="34"/>
  <c r="J207" i="34" s="1"/>
  <c r="K207" i="34" s="1"/>
  <c r="D205" i="34"/>
  <c r="J205" i="34" s="1"/>
  <c r="D203" i="34"/>
  <c r="J204" i="34" s="1"/>
  <c r="D201" i="34"/>
  <c r="J201" i="34" s="1"/>
  <c r="D199" i="34"/>
  <c r="J200" i="34" s="1"/>
  <c r="K200" i="34" s="1"/>
  <c r="J198" i="34"/>
  <c r="K198" i="34" s="1"/>
  <c r="D197" i="34"/>
  <c r="J197" i="34" s="1"/>
  <c r="K197" i="34" s="1"/>
  <c r="D195" i="34"/>
  <c r="J196" i="34" s="1"/>
  <c r="D193" i="34"/>
  <c r="J194" i="34" s="1"/>
  <c r="K194" i="34" s="1"/>
  <c r="D191" i="34"/>
  <c r="J191" i="34" s="1"/>
  <c r="K191" i="34" s="1"/>
  <c r="D189" i="34"/>
  <c r="J189" i="34" s="1"/>
  <c r="K189" i="34" s="1"/>
  <c r="D187" i="34"/>
  <c r="J188" i="34" s="1"/>
  <c r="K188" i="34" s="1"/>
  <c r="D185" i="34"/>
  <c r="J185" i="34" s="1"/>
  <c r="K185" i="34" s="1"/>
  <c r="D183" i="34"/>
  <c r="J184" i="34" s="1"/>
  <c r="D181" i="34"/>
  <c r="J182" i="34" s="1"/>
  <c r="D179" i="34"/>
  <c r="J180" i="34" s="1"/>
  <c r="D177" i="34"/>
  <c r="J177" i="34" s="1"/>
  <c r="K177" i="34" s="1"/>
  <c r="D175" i="34"/>
  <c r="J176" i="34" s="1"/>
  <c r="K176" i="34" s="1"/>
  <c r="D173" i="34"/>
  <c r="J173" i="34" s="1"/>
  <c r="D171" i="34"/>
  <c r="J172" i="34" s="1"/>
  <c r="K172" i="34" s="1"/>
  <c r="D169" i="34"/>
  <c r="J170" i="34" s="1"/>
  <c r="K170" i="34" s="1"/>
  <c r="J168" i="34"/>
  <c r="D167" i="34"/>
  <c r="J167" i="34" s="1"/>
  <c r="D165" i="34"/>
  <c r="J166" i="34" s="1"/>
  <c r="K166" i="34" s="1"/>
  <c r="D163" i="34"/>
  <c r="D161" i="34"/>
  <c r="J161" i="34" s="1"/>
  <c r="K161" i="34" s="1"/>
  <c r="D159" i="34"/>
  <c r="J159" i="34" s="1"/>
  <c r="K159" i="34" s="1"/>
  <c r="D157" i="34"/>
  <c r="J157" i="34" s="1"/>
  <c r="K157" i="34" s="1"/>
  <c r="D155" i="34"/>
  <c r="J156" i="34" s="1"/>
  <c r="K156" i="34" s="1"/>
  <c r="D153" i="34"/>
  <c r="J154" i="34" s="1"/>
  <c r="D151" i="34"/>
  <c r="J151" i="34" s="1"/>
  <c r="K151" i="34" s="1"/>
  <c r="K150" i="34"/>
  <c r="K149" i="34"/>
  <c r="D149" i="34"/>
  <c r="D147" i="34"/>
  <c r="J148" i="34" s="1"/>
  <c r="K148" i="34" s="1"/>
  <c r="D145" i="34"/>
  <c r="J145" i="34" s="1"/>
  <c r="K145" i="34" s="1"/>
  <c r="K144" i="34"/>
  <c r="K143" i="34"/>
  <c r="K142" i="34"/>
  <c r="K141" i="34"/>
  <c r="D141" i="34"/>
  <c r="D137" i="34"/>
  <c r="J138" i="34" s="1"/>
  <c r="K135" i="34"/>
  <c r="K134" i="34"/>
  <c r="K133" i="34"/>
  <c r="D133" i="34"/>
  <c r="D129" i="34"/>
  <c r="J130" i="34" s="1"/>
  <c r="D125" i="34"/>
  <c r="D121" i="34"/>
  <c r="J121" i="34" s="1"/>
  <c r="D117" i="34"/>
  <c r="J117" i="34" s="1"/>
  <c r="D113" i="34"/>
  <c r="J113" i="34" s="1"/>
  <c r="D109" i="34"/>
  <c r="J110" i="34" s="1"/>
  <c r="D105" i="34"/>
  <c r="J106" i="34" s="1"/>
  <c r="K106" i="34" s="1"/>
  <c r="D101" i="34"/>
  <c r="J104" i="34" s="1"/>
  <c r="K104" i="34" s="1"/>
  <c r="D97" i="34"/>
  <c r="J99" i="34" s="1"/>
  <c r="D93" i="34"/>
  <c r="J93" i="34" s="1"/>
  <c r="K91" i="34"/>
  <c r="K90" i="34"/>
  <c r="D85" i="34"/>
  <c r="J87" i="34" s="1"/>
  <c r="D81" i="34"/>
  <c r="J81" i="34" s="1"/>
  <c r="K81" i="34" s="1"/>
  <c r="D78" i="34"/>
  <c r="J78" i="34" s="1"/>
  <c r="K78" i="34" s="1"/>
  <c r="D76" i="34"/>
  <c r="J76" i="34" s="1"/>
  <c r="D74" i="34"/>
  <c r="J75" i="34" s="1"/>
  <c r="D72" i="34"/>
  <c r="J73" i="34" s="1"/>
  <c r="K73" i="34" s="1"/>
  <c r="D70" i="34"/>
  <c r="J70" i="34" s="1"/>
  <c r="D68" i="34"/>
  <c r="J69" i="34" s="1"/>
  <c r="K69" i="34" s="1"/>
  <c r="D66" i="34"/>
  <c r="J67" i="34" s="1"/>
  <c r="K67" i="34" s="1"/>
  <c r="K65" i="34"/>
  <c r="K64" i="34"/>
  <c r="D64" i="34"/>
  <c r="K63" i="34"/>
  <c r="K62" i="34"/>
  <c r="D62" i="34"/>
  <c r="K60" i="34"/>
  <c r="D60" i="34"/>
  <c r="D58" i="34"/>
  <c r="D56" i="34"/>
  <c r="J56" i="34" s="1"/>
  <c r="K56" i="34" s="1"/>
  <c r="D54" i="34"/>
  <c r="J55" i="34" s="1"/>
  <c r="K55" i="34" s="1"/>
  <c r="D51" i="34"/>
  <c r="D49" i="34"/>
  <c r="J50" i="34" s="1"/>
  <c r="K50" i="34" s="1"/>
  <c r="D45" i="34"/>
  <c r="D41" i="34"/>
  <c r="D37" i="34"/>
  <c r="D35" i="34"/>
  <c r="J35" i="34" s="1"/>
  <c r="K35" i="34" s="1"/>
  <c r="D34" i="34"/>
  <c r="J34" i="34" s="1"/>
  <c r="K34" i="34" s="1"/>
  <c r="D33" i="34"/>
  <c r="J33" i="34" s="1"/>
  <c r="D31" i="34"/>
  <c r="J31" i="34" s="1"/>
  <c r="J30" i="34"/>
  <c r="J29" i="34"/>
  <c r="D27" i="34"/>
  <c r="J28" i="34" s="1"/>
  <c r="D25" i="34"/>
  <c r="J26" i="34" s="1"/>
  <c r="D23" i="34"/>
  <c r="J24" i="34" s="1"/>
  <c r="J22" i="34"/>
  <c r="D21" i="34"/>
  <c r="J21" i="34" s="1"/>
  <c r="D19" i="34"/>
  <c r="J20" i="34" s="1"/>
  <c r="K20" i="34" s="1"/>
  <c r="D17" i="34"/>
  <c r="J18" i="34" s="1"/>
  <c r="D15" i="34"/>
  <c r="J15" i="34" s="1"/>
  <c r="D13" i="34"/>
  <c r="J13" i="34" s="1"/>
  <c r="K13" i="34" s="1"/>
  <c r="D11" i="34"/>
  <c r="J11" i="34" s="1"/>
  <c r="K11" i="34" s="1"/>
  <c r="D9" i="34"/>
  <c r="J10" i="34" s="1"/>
  <c r="D7" i="34"/>
  <c r="J7" i="34" s="1"/>
  <c r="D5" i="34"/>
  <c r="J6" i="34" s="1"/>
  <c r="K6" i="34" s="1"/>
  <c r="D3" i="34"/>
  <c r="J4" i="34" s="1"/>
  <c r="J109" i="34" l="1"/>
  <c r="J310" i="34"/>
  <c r="K310" i="34" s="1"/>
  <c r="J9" i="34"/>
  <c r="J311" i="34"/>
  <c r="K311" i="34" s="1"/>
  <c r="J312" i="34"/>
  <c r="K312" i="34" s="1"/>
  <c r="J272" i="34"/>
  <c r="J320" i="34"/>
  <c r="K320" i="34" s="1"/>
  <c r="J14" i="34"/>
  <c r="K14" i="34" s="1"/>
  <c r="J160" i="34"/>
  <c r="K160" i="34" s="1"/>
  <c r="J321" i="34"/>
  <c r="K321" i="34" s="1"/>
  <c r="J85" i="34"/>
  <c r="J324" i="34"/>
  <c r="K324" i="34" s="1"/>
  <c r="J57" i="34"/>
  <c r="K57" i="34" s="1"/>
  <c r="J86" i="34"/>
  <c r="J223" i="34"/>
  <c r="K223" i="34" s="1"/>
  <c r="J249" i="34"/>
  <c r="K249" i="34" s="1"/>
  <c r="J68" i="34"/>
  <c r="K68" i="34" s="1"/>
  <c r="J381" i="34"/>
  <c r="K381" i="34" s="1"/>
  <c r="J271" i="34"/>
  <c r="J12" i="34"/>
  <c r="K12" i="34" s="1"/>
  <c r="J158" i="34"/>
  <c r="K158" i="34" s="1"/>
  <c r="J243" i="34"/>
  <c r="J190" i="34"/>
  <c r="K190" i="34" s="1"/>
  <c r="J216" i="34"/>
  <c r="K216" i="34" s="1"/>
  <c r="J82" i="34"/>
  <c r="K82" i="34" s="1"/>
  <c r="J192" i="34"/>
  <c r="K192" i="34" s="1"/>
  <c r="J224" i="34"/>
  <c r="J256" i="34"/>
  <c r="K256" i="34" s="1"/>
  <c r="J297" i="34"/>
  <c r="K297" i="34" s="1"/>
  <c r="J203" i="34"/>
  <c r="J227" i="34"/>
  <c r="K227" i="34" s="1"/>
  <c r="J36" i="34"/>
  <c r="K36" i="34" s="1"/>
  <c r="J246" i="34"/>
  <c r="K246" i="34" s="1"/>
  <c r="J247" i="34"/>
  <c r="K247" i="34" s="1"/>
  <c r="J323" i="34"/>
  <c r="K323" i="34" s="1"/>
  <c r="J171" i="34"/>
  <c r="K171" i="34" s="1"/>
  <c r="J257" i="34"/>
  <c r="K257" i="34" s="1"/>
  <c r="J27" i="34"/>
  <c r="J3" i="34"/>
  <c r="J258" i="34"/>
  <c r="K258" i="34" s="1"/>
  <c r="J147" i="34"/>
  <c r="K147" i="34" s="1"/>
  <c r="J261" i="34"/>
  <c r="K261" i="34" s="1"/>
  <c r="J105" i="34"/>
  <c r="K105" i="34" s="1"/>
  <c r="J178" i="34"/>
  <c r="K178" i="34" s="1"/>
  <c r="J114" i="34"/>
  <c r="J288" i="34"/>
  <c r="J16" i="34"/>
  <c r="J162" i="34"/>
  <c r="K162" i="34" s="1"/>
  <c r="J179" i="34"/>
  <c r="J289" i="34"/>
  <c r="J228" i="34"/>
  <c r="K228" i="34" s="1"/>
  <c r="J193" i="34"/>
  <c r="K193" i="34" s="1"/>
  <c r="J293" i="34"/>
  <c r="K293" i="34" s="1"/>
  <c r="J292" i="34"/>
  <c r="K292" i="34" s="1"/>
  <c r="J181" i="34"/>
  <c r="J376" i="34"/>
  <c r="K376" i="34" s="1"/>
  <c r="J377" i="34"/>
  <c r="K377" i="34" s="1"/>
  <c r="J399" i="34"/>
  <c r="K399" i="34" s="1"/>
  <c r="J164" i="34"/>
  <c r="K164" i="34" s="1"/>
  <c r="J163" i="34"/>
  <c r="K163" i="34" s="1"/>
  <c r="J315" i="34"/>
  <c r="K315" i="34" s="1"/>
  <c r="J317" i="34"/>
  <c r="K317" i="34" s="1"/>
  <c r="J316" i="34"/>
  <c r="K316" i="34" s="1"/>
  <c r="J217" i="34"/>
  <c r="J400" i="34"/>
  <c r="K400" i="34" s="1"/>
  <c r="J94" i="34"/>
  <c r="J236" i="34"/>
  <c r="K236" i="34" s="1"/>
  <c r="J25" i="34"/>
  <c r="J71" i="34"/>
  <c r="J153" i="34"/>
  <c r="J202" i="34"/>
  <c r="J275" i="34"/>
  <c r="K275" i="34" s="1"/>
  <c r="J299" i="34"/>
  <c r="K299" i="34" s="1"/>
  <c r="J336" i="34"/>
  <c r="K336" i="34" s="1"/>
  <c r="J358" i="34"/>
  <c r="K358" i="34" s="1"/>
  <c r="J72" i="34"/>
  <c r="K72" i="34" s="1"/>
  <c r="J140" i="34"/>
  <c r="J49" i="34"/>
  <c r="K49" i="34" s="1"/>
  <c r="J23" i="34"/>
  <c r="J375" i="34"/>
  <c r="K375" i="34" s="1"/>
  <c r="J335" i="34"/>
  <c r="K335" i="34" s="1"/>
  <c r="J276" i="34"/>
  <c r="K276" i="34" s="1"/>
  <c r="J359" i="34"/>
  <c r="K359" i="34" s="1"/>
  <c r="J286" i="34"/>
  <c r="J152" i="34"/>
  <c r="K152" i="34" s="1"/>
  <c r="J314" i="34"/>
  <c r="K314" i="34" s="1"/>
  <c r="J137" i="34"/>
  <c r="J305" i="34"/>
  <c r="K305" i="34" s="1"/>
  <c r="J304" i="34"/>
  <c r="K304" i="34" s="1"/>
  <c r="J183" i="34"/>
  <c r="J169" i="34"/>
  <c r="K169" i="34" s="1"/>
  <c r="J199" i="34"/>
  <c r="K199" i="34" s="1"/>
  <c r="J253" i="34"/>
  <c r="K253" i="34" s="1"/>
  <c r="J252" i="34"/>
  <c r="K252" i="34" s="1"/>
  <c r="J251" i="34"/>
  <c r="K251" i="34" s="1"/>
  <c r="J5" i="34"/>
  <c r="K5" i="34" s="1"/>
  <c r="J374" i="34"/>
  <c r="K374" i="34" s="1"/>
  <c r="J334" i="34"/>
  <c r="K334" i="34" s="1"/>
  <c r="J53" i="34"/>
  <c r="K53" i="34" s="1"/>
  <c r="J52" i="34"/>
  <c r="K52" i="34" s="1"/>
  <c r="J404" i="34"/>
  <c r="K404" i="34" s="1"/>
  <c r="J406" i="34"/>
  <c r="K406" i="34" s="1"/>
  <c r="J405" i="34"/>
  <c r="K405" i="34" s="1"/>
  <c r="J239" i="34"/>
  <c r="K239" i="34" s="1"/>
  <c r="J241" i="34"/>
  <c r="K241" i="34" s="1"/>
  <c r="J240" i="34"/>
  <c r="K240" i="34" s="1"/>
  <c r="J238" i="34"/>
  <c r="K238" i="34" s="1"/>
  <c r="J259" i="34"/>
  <c r="K259" i="34" s="1"/>
  <c r="J280" i="34"/>
  <c r="K280" i="34" s="1"/>
  <c r="J281" i="34"/>
  <c r="K281" i="34" s="1"/>
  <c r="J278" i="34"/>
  <c r="K278" i="34" s="1"/>
  <c r="J302" i="34"/>
  <c r="K302" i="34" s="1"/>
  <c r="J322" i="34"/>
  <c r="K322" i="34" s="1"/>
  <c r="J74" i="34"/>
  <c r="J362" i="34"/>
  <c r="K362" i="34" s="1"/>
  <c r="J364" i="34"/>
  <c r="K364" i="34" s="1"/>
  <c r="J363" i="34"/>
  <c r="K363" i="34" s="1"/>
  <c r="J155" i="34"/>
  <c r="K155" i="34" s="1"/>
  <c r="J350" i="34"/>
  <c r="K350" i="34" s="1"/>
  <c r="J17" i="34"/>
  <c r="J174" i="34"/>
  <c r="J219" i="34"/>
  <c r="K219" i="34" s="1"/>
  <c r="J32" i="34"/>
  <c r="J186" i="34"/>
  <c r="K186" i="34" s="1"/>
  <c r="J175" i="34"/>
  <c r="K175" i="34" s="1"/>
  <c r="J195" i="34"/>
  <c r="J122" i="34"/>
  <c r="J294" i="34"/>
  <c r="K294" i="34" s="1"/>
  <c r="J79" i="34"/>
  <c r="K79" i="34" s="1"/>
  <c r="J396" i="34"/>
  <c r="K396" i="34" s="1"/>
  <c r="J19" i="34"/>
  <c r="K19" i="34" s="1"/>
  <c r="J102" i="34"/>
  <c r="K102" i="34" s="1"/>
  <c r="J146" i="34"/>
  <c r="K146" i="34" s="1"/>
  <c r="J165" i="34"/>
  <c r="K165" i="34" s="1"/>
  <c r="J208" i="34"/>
  <c r="K208" i="34" s="1"/>
  <c r="J231" i="34"/>
  <c r="K231" i="34" s="1"/>
  <c r="J327" i="34"/>
  <c r="K327" i="34" s="1"/>
  <c r="J339" i="34"/>
  <c r="J352" i="34"/>
  <c r="K352" i="34" s="1"/>
  <c r="J378" i="34"/>
  <c r="K378" i="34" s="1"/>
  <c r="J8" i="34"/>
  <c r="J54" i="34"/>
  <c r="K54" i="34" s="1"/>
  <c r="J123" i="34"/>
  <c r="J187" i="34"/>
  <c r="K187" i="34" s="1"/>
  <c r="J266" i="34"/>
  <c r="J283" i="34"/>
  <c r="K283" i="34" s="1"/>
  <c r="J306" i="34"/>
  <c r="J340" i="34"/>
  <c r="J103" i="34"/>
  <c r="K103" i="34" s="1"/>
  <c r="J267" i="34"/>
  <c r="J295" i="34"/>
  <c r="K295" i="34" s="1"/>
  <c r="J307" i="34"/>
  <c r="J318" i="34"/>
  <c r="K318" i="34" s="1"/>
  <c r="J328" i="34"/>
  <c r="K328" i="34" s="1"/>
  <c r="J341" i="34"/>
  <c r="J353" i="34"/>
  <c r="K353" i="34" s="1"/>
  <c r="J366" i="34"/>
  <c r="J379" i="34"/>
  <c r="K379" i="34" s="1"/>
  <c r="J97" i="34"/>
  <c r="J284" i="34"/>
  <c r="K284" i="34" s="1"/>
  <c r="J308" i="34"/>
  <c r="J397" i="34"/>
  <c r="K397" i="34" s="1"/>
  <c r="J118" i="34"/>
  <c r="J98" i="34"/>
  <c r="J66" i="34"/>
  <c r="K66" i="34" s="1"/>
  <c r="J326" i="34"/>
  <c r="K326" i="34" s="1"/>
  <c r="J395" i="34"/>
  <c r="K395" i="34" s="1"/>
  <c r="J129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JG</author>
  </authors>
  <commentList>
    <comment ref="F388" authorId="0" shapeId="0" xr:uid="{0615C44E-D49B-4CC2-A484-FA4A7BF53720}">
      <text>
        <r>
          <rPr>
            <b/>
            <sz val="9"/>
            <rFont val="宋体"/>
            <charset val="134"/>
          </rPr>
          <t>JG:</t>
        </r>
        <r>
          <rPr>
            <sz val="9"/>
            <rFont val="宋体"/>
            <charset val="134"/>
          </rPr>
          <t xml:space="preserve">
D调J</t>
        </r>
      </text>
    </comment>
    <comment ref="G388" authorId="0" shapeId="0" xr:uid="{9C3D657C-A931-4328-A973-4CE9B534E307}">
      <text>
        <r>
          <rPr>
            <b/>
            <sz val="9"/>
            <rFont val="宋体"/>
            <charset val="134"/>
          </rPr>
          <t>JG:</t>
        </r>
        <r>
          <rPr>
            <sz val="9"/>
            <rFont val="宋体"/>
            <charset val="134"/>
          </rPr>
          <t xml:space="preserve">
D调J</t>
        </r>
      </text>
    </comment>
    <comment ref="H388" authorId="0" shapeId="0" xr:uid="{B35089D6-9BA5-4D5C-9E29-D960FB0823DB}">
      <text>
        <r>
          <rPr>
            <b/>
            <sz val="9"/>
            <rFont val="宋体"/>
            <charset val="134"/>
          </rPr>
          <t>JG:</t>
        </r>
        <r>
          <rPr>
            <sz val="9"/>
            <rFont val="宋体"/>
            <charset val="134"/>
          </rPr>
          <t xml:space="preserve">
D调J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JG</author>
  </authors>
  <commentList>
    <comment ref="K2" authorId="0" shapeId="0" xr:uid="{00000000-0006-0000-0000-000001000000}">
      <text>
        <r>
          <rPr>
            <b/>
            <sz val="9"/>
            <rFont val="宋体"/>
            <charset val="134"/>
          </rPr>
          <t>JG:</t>
        </r>
        <r>
          <rPr>
            <sz val="9"/>
            <rFont val="宋体"/>
            <charset val="134"/>
          </rPr>
          <t xml:space="preserve">
无小数点</t>
        </r>
      </text>
    </comment>
    <comment ref="H389" authorId="0" shapeId="0" xr:uid="{00000000-0006-0000-0000-000002000000}">
      <text>
        <r>
          <rPr>
            <b/>
            <sz val="9"/>
            <rFont val="宋体"/>
            <charset val="134"/>
          </rPr>
          <t>JG:</t>
        </r>
        <r>
          <rPr>
            <sz val="9"/>
            <rFont val="宋体"/>
            <charset val="134"/>
          </rPr>
          <t xml:space="preserve">
D调J</t>
        </r>
      </text>
    </comment>
  </commentList>
</comments>
</file>

<file path=xl/sharedStrings.xml><?xml version="1.0" encoding="utf-8"?>
<sst xmlns="http://schemas.openxmlformats.org/spreadsheetml/2006/main" count="23096" uniqueCount="3422">
  <si>
    <t>2026年6月份员工宿舍电费扣费人员明细表</t>
  </si>
  <si>
    <t>序号</t>
  </si>
  <si>
    <t>宿舍房号</t>
  </si>
  <si>
    <t>超用电/度</t>
  </si>
  <si>
    <t>入住人数</t>
  </si>
  <si>
    <t>住宿员工姓名</t>
  </si>
  <si>
    <t>性别</t>
  </si>
  <si>
    <t>部门</t>
  </si>
  <si>
    <t>班组/科</t>
  </si>
  <si>
    <t>入住时间</t>
  </si>
  <si>
    <t>扣费金额/元</t>
  </si>
  <si>
    <t>离职时间</t>
  </si>
  <si>
    <t>备注</t>
  </si>
  <si>
    <t>A101</t>
  </si>
  <si>
    <t>植秀悦</t>
  </si>
  <si>
    <t>男</t>
  </si>
  <si>
    <t>生产部</t>
  </si>
  <si>
    <t>生产B班</t>
  </si>
  <si>
    <t>徐金英</t>
  </si>
  <si>
    <t>女</t>
  </si>
  <si>
    <t>A102</t>
  </si>
  <si>
    <t>彭金忆</t>
  </si>
  <si>
    <t>生产D班</t>
  </si>
  <si>
    <t>宋向强</t>
  </si>
  <si>
    <t>A103</t>
  </si>
  <si>
    <t>梁智锋</t>
  </si>
  <si>
    <t>张梦珠</t>
  </si>
  <si>
    <t>研发中心</t>
  </si>
  <si>
    <t>/</t>
  </si>
  <si>
    <t>A104</t>
  </si>
  <si>
    <t>陈月霞</t>
  </si>
  <si>
    <t>黄安才</t>
  </si>
  <si>
    <t>A105</t>
  </si>
  <si>
    <t>梁刘媚</t>
  </si>
  <si>
    <t>生产C班</t>
  </si>
  <si>
    <t>梁伟满</t>
  </si>
  <si>
    <t>A106</t>
  </si>
  <si>
    <t>李文武</t>
  </si>
  <si>
    <t>生产A班</t>
  </si>
  <si>
    <t>刘胜分</t>
  </si>
  <si>
    <t>A107</t>
  </si>
  <si>
    <t>莫恩明</t>
  </si>
  <si>
    <t>陈群丽</t>
  </si>
  <si>
    <t>A108</t>
  </si>
  <si>
    <t>王卫芳</t>
  </si>
  <si>
    <t>生产J班</t>
  </si>
  <si>
    <t>侯昌寿</t>
  </si>
  <si>
    <t>A109</t>
  </si>
  <si>
    <t>王泽能</t>
  </si>
  <si>
    <t>祝李梅</t>
  </si>
  <si>
    <t>A110</t>
  </si>
  <si>
    <t>李燕芸</t>
  </si>
  <si>
    <t>廖明</t>
  </si>
  <si>
    <t>A111</t>
  </si>
  <si>
    <t>冯泽荣</t>
  </si>
  <si>
    <t>黄春芹</t>
  </si>
  <si>
    <t>A112</t>
  </si>
  <si>
    <t>盘才天</t>
  </si>
  <si>
    <t>赵小燕</t>
  </si>
  <si>
    <t>A113</t>
  </si>
  <si>
    <t>李明武</t>
  </si>
  <si>
    <t>付群飞</t>
  </si>
  <si>
    <t>A114</t>
  </si>
  <si>
    <t>全亮明</t>
  </si>
  <si>
    <t>人资行政部</t>
  </si>
  <si>
    <t>水电工</t>
  </si>
  <si>
    <t>全任辉</t>
  </si>
  <si>
    <t>仓管员</t>
  </si>
  <si>
    <t>A201产生电费计算入全任辉</t>
  </si>
  <si>
    <t>A115</t>
  </si>
  <si>
    <t>王桂芳</t>
  </si>
  <si>
    <t>仓储科</t>
  </si>
  <si>
    <t>2025.12.13</t>
  </si>
  <si>
    <t>龙建勇</t>
  </si>
  <si>
    <t>设备科</t>
  </si>
  <si>
    <t>A116</t>
  </si>
  <si>
    <t>岑盛大</t>
  </si>
  <si>
    <t>A117</t>
  </si>
  <si>
    <t>林青山</t>
  </si>
  <si>
    <t>A118</t>
  </si>
  <si>
    <t>邰进英</t>
  </si>
  <si>
    <t>廖华</t>
  </si>
  <si>
    <t>A201</t>
  </si>
  <si>
    <t>A202</t>
  </si>
  <si>
    <t>马源辰</t>
  </si>
  <si>
    <t>研发部</t>
  </si>
  <si>
    <t>研发工程师</t>
  </si>
  <si>
    <t>李乐斌</t>
  </si>
  <si>
    <t>A203</t>
  </si>
  <si>
    <t>王斌</t>
  </si>
  <si>
    <t>A204</t>
  </si>
  <si>
    <t>卢锐文</t>
  </si>
  <si>
    <t>品质部</t>
  </si>
  <si>
    <t>质检员</t>
  </si>
  <si>
    <t>胡伟达</t>
  </si>
  <si>
    <t>A205</t>
  </si>
  <si>
    <t>黎新图</t>
  </si>
  <si>
    <t>罗浩铿</t>
  </si>
  <si>
    <t>研发技术员</t>
  </si>
  <si>
    <t>A206</t>
  </si>
  <si>
    <t>任光星</t>
  </si>
  <si>
    <t>向一洋</t>
  </si>
  <si>
    <t>质检技术员</t>
  </si>
  <si>
    <t>2025.7.1调入</t>
  </si>
  <si>
    <t>A207</t>
  </si>
  <si>
    <t>张啟泰</t>
  </si>
  <si>
    <t>聂锦雄</t>
  </si>
  <si>
    <t>A208</t>
  </si>
  <si>
    <t>唐秋生</t>
  </si>
  <si>
    <t>夫妻房</t>
  </si>
  <si>
    <t>吴会娥</t>
  </si>
  <si>
    <t>F班</t>
  </si>
  <si>
    <t>A209</t>
  </si>
  <si>
    <t>陈泓源</t>
  </si>
  <si>
    <t>销售部</t>
  </si>
  <si>
    <t>谭佳鑫</t>
  </si>
  <si>
    <t>算11天水电费</t>
  </si>
  <si>
    <t>A210</t>
  </si>
  <si>
    <t>饶露兵</t>
  </si>
  <si>
    <t>现场巡查员</t>
  </si>
  <si>
    <t>算8天水电费</t>
  </si>
  <si>
    <t>陈健</t>
  </si>
  <si>
    <t>A211</t>
  </si>
  <si>
    <t>廖述洋</t>
  </si>
  <si>
    <t>算4天水电费</t>
  </si>
  <si>
    <t>吴海彬</t>
  </si>
  <si>
    <t>A212</t>
  </si>
  <si>
    <t>郑伟深</t>
  </si>
  <si>
    <t>蔡伊萍</t>
  </si>
  <si>
    <t>生产F班</t>
  </si>
  <si>
    <t>A213</t>
  </si>
  <si>
    <t>张安亮</t>
  </si>
  <si>
    <t>向元美</t>
  </si>
  <si>
    <t>A214</t>
  </si>
  <si>
    <t>陈伦香</t>
  </si>
  <si>
    <t>陈宝华</t>
  </si>
  <si>
    <t>A215</t>
  </si>
  <si>
    <t>罗涛</t>
  </si>
  <si>
    <t>黄嘉炎</t>
  </si>
  <si>
    <t>A216</t>
  </si>
  <si>
    <t>王冲</t>
  </si>
  <si>
    <t>郑乐</t>
  </si>
  <si>
    <t>A217</t>
  </si>
  <si>
    <t>黄莹</t>
  </si>
  <si>
    <t>实习生</t>
  </si>
  <si>
    <t>杨文慧</t>
  </si>
  <si>
    <t>A218</t>
  </si>
  <si>
    <t>植新方</t>
  </si>
  <si>
    <t>2026.2.26</t>
  </si>
  <si>
    <t>余光武</t>
  </si>
  <si>
    <t>2024/10/20调入</t>
  </si>
  <si>
    <t>A301</t>
  </si>
  <si>
    <t>肖湘</t>
  </si>
  <si>
    <t>肖建新</t>
  </si>
  <si>
    <t>A302</t>
  </si>
  <si>
    <t>李建伟</t>
  </si>
  <si>
    <t>胡韶庆</t>
  </si>
  <si>
    <t>黄国明</t>
  </si>
  <si>
    <t>临时司机</t>
  </si>
  <si>
    <t>A303</t>
  </si>
  <si>
    <t>熊龙胜</t>
  </si>
  <si>
    <t>生产检查员</t>
  </si>
  <si>
    <t>劳远胜</t>
  </si>
  <si>
    <t>秦玉辉</t>
  </si>
  <si>
    <t>扣21天电费</t>
  </si>
  <si>
    <t>A304</t>
  </si>
  <si>
    <t>黄木养</t>
  </si>
  <si>
    <t>罗志威</t>
  </si>
  <si>
    <t>叉车司机</t>
  </si>
  <si>
    <t>2025.8.8调入</t>
  </si>
  <si>
    <t>A305</t>
  </si>
  <si>
    <t>温梅玲</t>
  </si>
  <si>
    <t>梁秋星</t>
  </si>
  <si>
    <t>厨工</t>
  </si>
  <si>
    <t>江淑琴</t>
  </si>
  <si>
    <t>A306</t>
  </si>
  <si>
    <t>冯伯忠</t>
  </si>
  <si>
    <t>董朝阳</t>
  </si>
  <si>
    <t>王顺武</t>
  </si>
  <si>
    <t>A307</t>
  </si>
  <si>
    <t>甘作敬</t>
  </si>
  <si>
    <t>罗贤添</t>
  </si>
  <si>
    <t>A308</t>
  </si>
  <si>
    <t>陈望海</t>
  </si>
  <si>
    <t>曾红全</t>
  </si>
  <si>
    <t>A309</t>
  </si>
  <si>
    <t>陈建成</t>
  </si>
  <si>
    <t>赵先进</t>
  </si>
  <si>
    <t>A310</t>
  </si>
  <si>
    <t>韦裕枝</t>
  </si>
  <si>
    <t>吴日生</t>
  </si>
  <si>
    <t>A311</t>
  </si>
  <si>
    <t>谭云飞</t>
  </si>
  <si>
    <t>韦绕</t>
  </si>
  <si>
    <t>温永清</t>
  </si>
  <si>
    <t>2025/11/1调入</t>
  </si>
  <si>
    <t>A312</t>
  </si>
  <si>
    <t>A313</t>
  </si>
  <si>
    <t>李明义</t>
  </si>
  <si>
    <t>袁铁匠</t>
  </si>
  <si>
    <t>A314</t>
  </si>
  <si>
    <t>向绪冬</t>
  </si>
  <si>
    <t>何析操</t>
  </si>
  <si>
    <t>田昌清</t>
  </si>
  <si>
    <t>算19天电费</t>
  </si>
  <si>
    <t>A315</t>
  </si>
  <si>
    <t>黎伍冬</t>
  </si>
  <si>
    <t>陶正红</t>
  </si>
  <si>
    <t>区英潜</t>
  </si>
  <si>
    <t>A316</t>
  </si>
  <si>
    <t>陈琳</t>
  </si>
  <si>
    <t>研发助理</t>
  </si>
  <si>
    <t>梁坤</t>
  </si>
  <si>
    <t>刘少坤</t>
  </si>
  <si>
    <t>候小松</t>
  </si>
  <si>
    <t>算27天电费</t>
  </si>
  <si>
    <t>A317</t>
  </si>
  <si>
    <t>黄信钊</t>
  </si>
  <si>
    <t>李荣铣</t>
  </si>
  <si>
    <t>A318</t>
  </si>
  <si>
    <t>冼艺荣</t>
  </si>
  <si>
    <t>2026.1.5</t>
  </si>
  <si>
    <t>调入</t>
  </si>
  <si>
    <t>曾令雄</t>
  </si>
  <si>
    <t>A401</t>
  </si>
  <si>
    <t>刘杰黎</t>
  </si>
  <si>
    <t>胡焙程</t>
  </si>
  <si>
    <t>算6天电费</t>
  </si>
  <si>
    <t>A402</t>
  </si>
  <si>
    <t>朱智濠</t>
  </si>
  <si>
    <t>周艺轩</t>
  </si>
  <si>
    <t>A403</t>
  </si>
  <si>
    <t>唐志鹏</t>
  </si>
  <si>
    <t>陈镇淼</t>
  </si>
  <si>
    <t>A404</t>
  </si>
  <si>
    <t>吕振杰</t>
  </si>
  <si>
    <t>李应明</t>
  </si>
  <si>
    <t>A405</t>
  </si>
  <si>
    <t>吴日健</t>
  </si>
  <si>
    <t>何子鹏</t>
  </si>
  <si>
    <t>A406</t>
  </si>
  <si>
    <t>莫最期</t>
  </si>
  <si>
    <t>方艺全</t>
  </si>
  <si>
    <t>A407</t>
  </si>
  <si>
    <t>朱韵许乐</t>
  </si>
  <si>
    <t>汪泽燃</t>
  </si>
  <si>
    <t>A408</t>
  </si>
  <si>
    <t>朱显金</t>
  </si>
  <si>
    <t>陆友文</t>
  </si>
  <si>
    <t>A409</t>
  </si>
  <si>
    <t>戴福鹏</t>
  </si>
  <si>
    <t>袁羚耀</t>
  </si>
  <si>
    <t>A410</t>
  </si>
  <si>
    <t>郑杰鹏</t>
  </si>
  <si>
    <t>陈欢</t>
  </si>
  <si>
    <t>A411</t>
  </si>
  <si>
    <t>李晓君</t>
  </si>
  <si>
    <t>2025.6.7</t>
  </si>
  <si>
    <t>陈土春</t>
  </si>
  <si>
    <t>A412</t>
  </si>
  <si>
    <t>邓结</t>
  </si>
  <si>
    <t>邹好英</t>
  </si>
  <si>
    <t>A413</t>
  </si>
  <si>
    <t>师维颖</t>
  </si>
  <si>
    <t>杨佳娜</t>
  </si>
  <si>
    <t>A414</t>
  </si>
  <si>
    <t>陈亚菲</t>
  </si>
  <si>
    <t>2025.4.13</t>
  </si>
  <si>
    <t>梁玉婵</t>
  </si>
  <si>
    <t>A415</t>
  </si>
  <si>
    <t>胡艳珊</t>
  </si>
  <si>
    <t>戴海鸿</t>
  </si>
  <si>
    <t>A416</t>
  </si>
  <si>
    <t>陈凯玲</t>
  </si>
  <si>
    <t>叶绮琪</t>
  </si>
  <si>
    <t>A417</t>
  </si>
  <si>
    <t>姚诗琪</t>
  </si>
  <si>
    <t>庞舒文</t>
  </si>
  <si>
    <t>A418</t>
  </si>
  <si>
    <t>沈智迪</t>
  </si>
  <si>
    <t>董秘办</t>
  </si>
  <si>
    <t>袁珊</t>
  </si>
  <si>
    <t>A501</t>
  </si>
  <si>
    <t>郑杰华</t>
  </si>
  <si>
    <t>梁任湘</t>
  </si>
  <si>
    <t>A502</t>
  </si>
  <si>
    <t>陈业树</t>
  </si>
  <si>
    <t>韦松余</t>
  </si>
  <si>
    <t>A503</t>
  </si>
  <si>
    <t>李鸿</t>
  </si>
  <si>
    <t>李刚</t>
  </si>
  <si>
    <t>A504</t>
  </si>
  <si>
    <t>李子健</t>
  </si>
  <si>
    <t>陈明浩</t>
  </si>
  <si>
    <t>A505</t>
  </si>
  <si>
    <t>郭栩明</t>
  </si>
  <si>
    <t>吴家杰</t>
  </si>
  <si>
    <t>A506</t>
  </si>
  <si>
    <t>张侣</t>
  </si>
  <si>
    <t>张明</t>
  </si>
  <si>
    <t>A507</t>
  </si>
  <si>
    <t>丁家军</t>
  </si>
  <si>
    <t>丁小奇</t>
  </si>
  <si>
    <t>A508</t>
  </si>
  <si>
    <t>钱梦梦</t>
  </si>
  <si>
    <t>谈颖琳</t>
  </si>
  <si>
    <t>A509</t>
  </si>
  <si>
    <t>黄嘉杰</t>
  </si>
  <si>
    <t>采购部</t>
  </si>
  <si>
    <t>曾梓毅</t>
  </si>
  <si>
    <t>A510</t>
  </si>
  <si>
    <t>叶昱呈</t>
  </si>
  <si>
    <t>蔡子健</t>
  </si>
  <si>
    <t>A511</t>
  </si>
  <si>
    <t>商娜</t>
  </si>
  <si>
    <t>A512</t>
  </si>
  <si>
    <t>卢骏芬</t>
  </si>
  <si>
    <t>黄嘉炬</t>
  </si>
  <si>
    <t>A513</t>
  </si>
  <si>
    <t>黄鑫章</t>
  </si>
  <si>
    <t>A514</t>
  </si>
  <si>
    <t>涂广水</t>
  </si>
  <si>
    <t>A515</t>
  </si>
  <si>
    <t>吴本立</t>
  </si>
  <si>
    <t>7月搬去610</t>
  </si>
  <si>
    <t>刘巍</t>
  </si>
  <si>
    <t>算8天电费</t>
  </si>
  <si>
    <t>A516</t>
  </si>
  <si>
    <t>刘为钰</t>
  </si>
  <si>
    <t>曲亚华</t>
  </si>
  <si>
    <t>仓管</t>
  </si>
  <si>
    <t>A517</t>
  </si>
  <si>
    <t>汤艺山</t>
  </si>
  <si>
    <t>审计部</t>
  </si>
  <si>
    <t>丁广胜</t>
  </si>
  <si>
    <t>A518</t>
  </si>
  <si>
    <t>吴坤潮</t>
  </si>
  <si>
    <t>王东杰</t>
  </si>
  <si>
    <t>A602</t>
  </si>
  <si>
    <t>彭咏康</t>
  </si>
  <si>
    <t>梁清林</t>
  </si>
  <si>
    <t>A604</t>
  </si>
  <si>
    <t>谢国平</t>
  </si>
  <si>
    <t>陈升</t>
  </si>
  <si>
    <t>A606</t>
  </si>
  <si>
    <t>李晟</t>
  </si>
  <si>
    <t>王鹏</t>
  </si>
  <si>
    <t>储备干部</t>
  </si>
  <si>
    <t>A608</t>
  </si>
  <si>
    <t>肖玉杰</t>
  </si>
  <si>
    <t>向依林</t>
  </si>
  <si>
    <t>A610</t>
  </si>
  <si>
    <t>欧锦成</t>
  </si>
  <si>
    <t>黄广涛</t>
  </si>
  <si>
    <t>6/30离职</t>
  </si>
  <si>
    <t>A612</t>
  </si>
  <si>
    <t>陈先芬</t>
  </si>
  <si>
    <t>朱庆涛</t>
  </si>
  <si>
    <t>2025.12.8调入</t>
  </si>
  <si>
    <t>A614</t>
  </si>
  <si>
    <t>林华伟</t>
  </si>
  <si>
    <t>H班</t>
  </si>
  <si>
    <t>A616</t>
  </si>
  <si>
    <t>吴波</t>
  </si>
  <si>
    <t>黄裕晋</t>
  </si>
  <si>
    <t>B101</t>
  </si>
  <si>
    <t>洪伟源</t>
  </si>
  <si>
    <t>生产E班</t>
  </si>
  <si>
    <t>2025.3.5调入</t>
  </si>
  <si>
    <t>王志健</t>
  </si>
  <si>
    <t>韦智彪</t>
  </si>
  <si>
    <t>黄锦涛</t>
  </si>
  <si>
    <t>B102</t>
  </si>
  <si>
    <t>阮中起</t>
  </si>
  <si>
    <t>包装工</t>
  </si>
  <si>
    <t>2025.3.14调入</t>
  </si>
  <si>
    <t>陈明化</t>
  </si>
  <si>
    <t>厕所经常堵塞；2人间</t>
  </si>
  <si>
    <t>B103</t>
  </si>
  <si>
    <t>郑绍恩</t>
  </si>
  <si>
    <t>2025.4.30调入</t>
  </si>
  <si>
    <t>陈新强</t>
  </si>
  <si>
    <t>韦世波</t>
  </si>
  <si>
    <t>李林峰</t>
  </si>
  <si>
    <t>B104</t>
  </si>
  <si>
    <t>徐洪胜</t>
  </si>
  <si>
    <t>2024.7.31搬进</t>
  </si>
  <si>
    <t>张韦敏</t>
  </si>
  <si>
    <t>2025.7.14调入</t>
  </si>
  <si>
    <t>胡文健</t>
  </si>
  <si>
    <t>2025.3.11调入</t>
  </si>
  <si>
    <t>王登勇</t>
  </si>
  <si>
    <t>B105</t>
  </si>
  <si>
    <t>赵明聪</t>
  </si>
  <si>
    <t>2025.6.16调入</t>
  </si>
  <si>
    <t>吴才会</t>
  </si>
  <si>
    <t>可调到605</t>
  </si>
  <si>
    <t>韦克伟</t>
  </si>
  <si>
    <t>B106</t>
  </si>
  <si>
    <t>梁贵义</t>
  </si>
  <si>
    <t>生产作业员</t>
  </si>
  <si>
    <t>2025.4.1调入</t>
  </si>
  <si>
    <t>梁富葵</t>
  </si>
  <si>
    <t>梁贵换</t>
  </si>
  <si>
    <t>梁贵兴</t>
  </si>
  <si>
    <t>B107</t>
  </si>
  <si>
    <t>吴有和</t>
  </si>
  <si>
    <t>杨胜国</t>
  </si>
  <si>
    <t>吴周</t>
  </si>
  <si>
    <t>2024年6月8日搬进去</t>
  </si>
  <si>
    <t>廖绩凯</t>
  </si>
  <si>
    <t>算18天电费</t>
  </si>
  <si>
    <t>B201</t>
  </si>
  <si>
    <t>岑建英</t>
  </si>
  <si>
    <t>周康敏</t>
  </si>
  <si>
    <t>2025.2.19调入</t>
  </si>
  <si>
    <t>黄招娣</t>
  </si>
  <si>
    <t>B202</t>
  </si>
  <si>
    <t>宋秀玲</t>
  </si>
  <si>
    <t>韦凤珍</t>
  </si>
  <si>
    <t>班玩兰</t>
  </si>
  <si>
    <t>B203</t>
  </si>
  <si>
    <t>陈秀金</t>
  </si>
  <si>
    <t>周色花</t>
  </si>
  <si>
    <t>梁晓玲</t>
  </si>
  <si>
    <t>2024.12.2调入</t>
  </si>
  <si>
    <t>B204</t>
  </si>
  <si>
    <t>肖春兰</t>
  </si>
  <si>
    <t>鲁亚</t>
  </si>
  <si>
    <t>黄爱兰</t>
  </si>
  <si>
    <t>B205</t>
  </si>
  <si>
    <t>甘丽云</t>
  </si>
  <si>
    <t>2025.3.7调入</t>
  </si>
  <si>
    <t>肖丹</t>
  </si>
  <si>
    <t>植秋英</t>
  </si>
  <si>
    <t>B206</t>
  </si>
  <si>
    <t>张玉香</t>
  </si>
  <si>
    <t>算15天电费</t>
  </si>
  <si>
    <t>李永珍</t>
  </si>
  <si>
    <t>郑日英</t>
  </si>
  <si>
    <t>李卓玲</t>
  </si>
  <si>
    <t>B207</t>
  </si>
  <si>
    <t>李红英</t>
  </si>
  <si>
    <t>冉启莲</t>
  </si>
  <si>
    <t>李焕英</t>
  </si>
  <si>
    <t>覃连秀</t>
  </si>
  <si>
    <t>B301</t>
  </si>
  <si>
    <t>陈新亮</t>
  </si>
  <si>
    <t>邓日成</t>
  </si>
  <si>
    <t>华江</t>
  </si>
  <si>
    <t>叶焕昇</t>
  </si>
  <si>
    <t>B302</t>
  </si>
  <si>
    <t>曾伟光</t>
  </si>
  <si>
    <t>谭叙周</t>
  </si>
  <si>
    <t>B303</t>
  </si>
  <si>
    <t>程云峰</t>
  </si>
  <si>
    <t>黄远选</t>
  </si>
  <si>
    <t>王天伟</t>
  </si>
  <si>
    <t>侯年华</t>
  </si>
  <si>
    <t>B304</t>
  </si>
  <si>
    <t>伍柱锋</t>
  </si>
  <si>
    <t>谷运锋</t>
  </si>
  <si>
    <t>李国辉</t>
  </si>
  <si>
    <t>邹六根</t>
  </si>
  <si>
    <t>B305</t>
  </si>
  <si>
    <t>张闯</t>
  </si>
  <si>
    <t>梁朝</t>
  </si>
  <si>
    <t>黄海英</t>
  </si>
  <si>
    <t>卫明磊</t>
  </si>
  <si>
    <t>B306</t>
  </si>
  <si>
    <t>杨杰</t>
  </si>
  <si>
    <t>黄顺茂</t>
  </si>
  <si>
    <t>杨涛</t>
  </si>
  <si>
    <t>彭梦金</t>
  </si>
  <si>
    <t>B307</t>
  </si>
  <si>
    <t>王泽能①</t>
  </si>
  <si>
    <t>陈志强</t>
  </si>
  <si>
    <t>盘奇林</t>
  </si>
  <si>
    <t>梁庆飞</t>
  </si>
  <si>
    <t>B401</t>
  </si>
  <si>
    <t>雷军</t>
  </si>
  <si>
    <t>肖勇</t>
  </si>
  <si>
    <t>向茂</t>
  </si>
  <si>
    <t>胡大明</t>
  </si>
  <si>
    <t>B402</t>
  </si>
  <si>
    <t>李小平</t>
  </si>
  <si>
    <t>赵德胜</t>
  </si>
  <si>
    <t>吴霖霖</t>
  </si>
  <si>
    <t>林松游</t>
  </si>
  <si>
    <t>B403</t>
  </si>
  <si>
    <t>谢铁钻</t>
  </si>
  <si>
    <t>陈宇进</t>
  </si>
  <si>
    <t>算7天电费</t>
  </si>
  <si>
    <t>陈王彬</t>
  </si>
  <si>
    <t>梁龙发</t>
  </si>
  <si>
    <t>B404</t>
  </si>
  <si>
    <t>李明富</t>
  </si>
  <si>
    <t>许家豪</t>
  </si>
  <si>
    <t>山林坤</t>
  </si>
  <si>
    <t>刘宏新</t>
  </si>
  <si>
    <t>B405</t>
  </si>
  <si>
    <t>梁祝建</t>
  </si>
  <si>
    <t>陈长任</t>
  </si>
  <si>
    <t>胡志军</t>
  </si>
  <si>
    <t>李继能</t>
  </si>
  <si>
    <t>B406</t>
  </si>
  <si>
    <t>莫义健</t>
  </si>
  <si>
    <t>曾昭煜</t>
  </si>
  <si>
    <t>周志平</t>
  </si>
  <si>
    <t>李标</t>
  </si>
  <si>
    <t>B407</t>
  </si>
  <si>
    <t>黄金荣</t>
  </si>
  <si>
    <t>黎国平</t>
  </si>
  <si>
    <t>唐凡亮</t>
  </si>
  <si>
    <t>廖瑞林</t>
  </si>
  <si>
    <t>B501</t>
  </si>
  <si>
    <t>李永超</t>
  </si>
  <si>
    <t>生产K班</t>
  </si>
  <si>
    <t>周东波</t>
  </si>
  <si>
    <t>罗实忠</t>
  </si>
  <si>
    <t>郑潮辉</t>
  </si>
  <si>
    <t>B502</t>
  </si>
  <si>
    <t>袁石金</t>
  </si>
  <si>
    <t>韦朝业</t>
  </si>
  <si>
    <t>王泽树</t>
  </si>
  <si>
    <t>陈鑫</t>
  </si>
  <si>
    <t>算20天电费</t>
  </si>
  <si>
    <t>B503</t>
  </si>
  <si>
    <t>莫沛葵</t>
  </si>
  <si>
    <t>杨永辉</t>
  </si>
  <si>
    <t>杨浩</t>
  </si>
  <si>
    <t>B504</t>
  </si>
  <si>
    <t>夏忠庆</t>
  </si>
  <si>
    <t>黄昌任</t>
  </si>
  <si>
    <t>钟相得</t>
  </si>
  <si>
    <t>B505</t>
  </si>
  <si>
    <t>周仲和</t>
  </si>
  <si>
    <t>苏亦康</t>
  </si>
  <si>
    <t>郑福云</t>
  </si>
  <si>
    <t>陈彪</t>
  </si>
  <si>
    <t>B506</t>
  </si>
  <si>
    <t>徐浩东</t>
  </si>
  <si>
    <t>制造二科</t>
  </si>
  <si>
    <t>李涛</t>
  </si>
  <si>
    <t>曾妍</t>
  </si>
  <si>
    <t>B507</t>
  </si>
  <si>
    <t>庞有文</t>
  </si>
  <si>
    <t>庞有彬</t>
  </si>
  <si>
    <t>陈兆山</t>
  </si>
  <si>
    <t>陈兆桂</t>
  </si>
  <si>
    <t>生产H班</t>
  </si>
  <si>
    <t>B601</t>
  </si>
  <si>
    <t>王玲宇</t>
  </si>
  <si>
    <t>林赐</t>
  </si>
  <si>
    <t>潘青文</t>
  </si>
  <si>
    <t>黄敬洲</t>
  </si>
  <si>
    <t>B602</t>
  </si>
  <si>
    <t>覃家伟</t>
  </si>
  <si>
    <t>黄华钦</t>
  </si>
  <si>
    <t>吴昊泽</t>
  </si>
  <si>
    <t>B603</t>
  </si>
  <si>
    <t>何久光</t>
  </si>
  <si>
    <t>罗文杰</t>
  </si>
  <si>
    <t>李双贵</t>
  </si>
  <si>
    <t>黄桥星</t>
  </si>
  <si>
    <t>B604</t>
  </si>
  <si>
    <t>谢良涛</t>
  </si>
  <si>
    <t>李远义</t>
  </si>
  <si>
    <t>何先银</t>
  </si>
  <si>
    <t>算5天电费</t>
  </si>
  <si>
    <t>刘为钊</t>
  </si>
  <si>
    <t>B605</t>
  </si>
  <si>
    <t>潘怀远</t>
  </si>
  <si>
    <t>彭剑国</t>
  </si>
  <si>
    <t>彭冬荣</t>
  </si>
  <si>
    <t>彭佰达</t>
  </si>
  <si>
    <t>B606</t>
  </si>
  <si>
    <t>李广森</t>
  </si>
  <si>
    <t>赵有鑫</t>
  </si>
  <si>
    <t>吴祖龙</t>
  </si>
  <si>
    <t>B607</t>
  </si>
  <si>
    <t>陈和俊</t>
  </si>
  <si>
    <t>程志森</t>
  </si>
  <si>
    <t>徐正亮</t>
  </si>
  <si>
    <t>陈和杰</t>
  </si>
  <si>
    <t>岗位</t>
    <phoneticPr fontId="19" type="noConversion"/>
  </si>
  <si>
    <t>考勤班次</t>
    <phoneticPr fontId="19" type="noConversion"/>
  </si>
  <si>
    <t>B班</t>
  </si>
  <si>
    <t>B班</t>
    <phoneticPr fontId="19" type="noConversion"/>
  </si>
  <si>
    <t>F班</t>
    <phoneticPr fontId="19" type="noConversion"/>
  </si>
  <si>
    <t>D班</t>
  </si>
  <si>
    <t>D班</t>
    <phoneticPr fontId="19" type="noConversion"/>
  </si>
  <si>
    <t>班组</t>
    <phoneticPr fontId="19" type="noConversion"/>
  </si>
  <si>
    <t>C班</t>
  </si>
  <si>
    <t>A班</t>
  </si>
  <si>
    <t>J班</t>
  </si>
  <si>
    <t>E班</t>
  </si>
  <si>
    <t>K班</t>
  </si>
  <si>
    <t>员工姓名</t>
  </si>
  <si>
    <t>员工编号</t>
  </si>
  <si>
    <t>主任岗岗位</t>
  </si>
  <si>
    <t>主任岗开始日期</t>
  </si>
  <si>
    <t>移动电话</t>
  </si>
  <si>
    <t>来源于s-HR</t>
  </si>
  <si>
    <t>HR员工</t>
  </si>
  <si>
    <t>费用归属</t>
  </si>
  <si>
    <t>开户银行</t>
  </si>
  <si>
    <t>银行账号</t>
  </si>
  <si>
    <t>账户名称</t>
  </si>
  <si>
    <t>1s-HRDEL250515161349</t>
  </si>
  <si>
    <t>董事会秘书</t>
  </si>
  <si>
    <t>2025-05-15</t>
  </si>
  <si>
    <t>是</t>
  </si>
  <si>
    <t>否</t>
  </si>
  <si>
    <t>1</t>
  </si>
  <si>
    <t>JG003049</t>
  </si>
  <si>
    <t>C班包装工</t>
  </si>
  <si>
    <t>2026-03-07</t>
  </si>
  <si>
    <t>生产部-直接人工</t>
  </si>
  <si>
    <t>毕丽平</t>
  </si>
  <si>
    <t>JG001731</t>
  </si>
  <si>
    <t>K班普工</t>
  </si>
  <si>
    <t>2024-04-24</t>
  </si>
  <si>
    <t>13138526867</t>
  </si>
  <si>
    <t>蔡金星</t>
  </si>
  <si>
    <t>JG003233</t>
  </si>
  <si>
    <t>厨师</t>
  </si>
  <si>
    <t>2026-06-25</t>
  </si>
  <si>
    <t>管理费用-福利费</t>
  </si>
  <si>
    <t>蔡玲燕</t>
  </si>
  <si>
    <t>JG000208</t>
  </si>
  <si>
    <t>技术文员</t>
  </si>
  <si>
    <t>2024-11-01</t>
  </si>
  <si>
    <t>15363083356</t>
  </si>
  <si>
    <t>研发费用</t>
  </si>
  <si>
    <t>蔡文妹</t>
  </si>
  <si>
    <t>JG002761</t>
  </si>
  <si>
    <t>2025-06-20</t>
  </si>
  <si>
    <t>15813644472</t>
  </si>
  <si>
    <t>JG002666</t>
  </si>
  <si>
    <t>F班包装工</t>
  </si>
  <si>
    <t>2025-04-11</t>
  </si>
  <si>
    <t>18718984298</t>
  </si>
  <si>
    <t>蔡源琪</t>
  </si>
  <si>
    <t>JG002615</t>
  </si>
  <si>
    <t>证券事务代表</t>
  </si>
  <si>
    <t>2025-03-24</t>
  </si>
  <si>
    <t>18824625725</t>
  </si>
  <si>
    <t>管理费用</t>
  </si>
  <si>
    <t>JG001834</t>
  </si>
  <si>
    <t>2024-06-26</t>
  </si>
  <si>
    <t>曹石林</t>
  </si>
  <si>
    <t>JG002872</t>
  </si>
  <si>
    <t>机修</t>
  </si>
  <si>
    <t>2025-09-22</t>
  </si>
  <si>
    <t>生产部-辅助人工</t>
  </si>
  <si>
    <t>JG000783</t>
  </si>
  <si>
    <t>2022-03-04</t>
  </si>
  <si>
    <t>15177682292</t>
  </si>
  <si>
    <t>岑美珠</t>
  </si>
  <si>
    <t>JG001820</t>
  </si>
  <si>
    <t>检测工程师</t>
  </si>
  <si>
    <t>2024-06-18</t>
  </si>
  <si>
    <t>13425284468</t>
  </si>
  <si>
    <t>JG000170</t>
  </si>
  <si>
    <t>主厨</t>
  </si>
  <si>
    <t>2020-05-18</t>
  </si>
  <si>
    <t>13202645700</t>
  </si>
  <si>
    <t>曾炳棣</t>
  </si>
  <si>
    <t>JG001636</t>
  </si>
  <si>
    <t>2023-11-06</t>
  </si>
  <si>
    <t>13570533360</t>
  </si>
  <si>
    <t>JG000066</t>
  </si>
  <si>
    <t>保安</t>
  </si>
  <si>
    <t>2016-04-23</t>
  </si>
  <si>
    <t>18823097450</t>
  </si>
  <si>
    <t>曾健楚</t>
  </si>
  <si>
    <t>JG001355</t>
  </si>
  <si>
    <t>业务员</t>
  </si>
  <si>
    <t>2023-02-01</t>
  </si>
  <si>
    <t>13247548834</t>
  </si>
  <si>
    <t>销售费用</t>
  </si>
  <si>
    <t>曾锦文</t>
  </si>
  <si>
    <t>VK000001</t>
  </si>
  <si>
    <t>2012-11-01</t>
  </si>
  <si>
    <t>13528960343</t>
  </si>
  <si>
    <t>曾晋</t>
  </si>
  <si>
    <t>JG002127</t>
  </si>
  <si>
    <t>2024-10-23</t>
  </si>
  <si>
    <t>15790683551</t>
  </si>
  <si>
    <t>JG002774</t>
  </si>
  <si>
    <t>高级研发工程师</t>
  </si>
  <si>
    <t>2025-07-03</t>
  </si>
  <si>
    <t>13617342061</t>
  </si>
  <si>
    <t>JG000193</t>
  </si>
  <si>
    <t>A班生产助班</t>
  </si>
  <si>
    <t>2020-08-12</t>
  </si>
  <si>
    <t>15915207308</t>
  </si>
  <si>
    <t>曾卫东</t>
  </si>
  <si>
    <t>JG002829</t>
  </si>
  <si>
    <t>B班包装工</t>
  </si>
  <si>
    <t>2025-08-23</t>
  </si>
  <si>
    <t>JG003184</t>
  </si>
  <si>
    <t>H班生产作业员</t>
  </si>
  <si>
    <t>2026-05-27</t>
  </si>
  <si>
    <t>JG000789</t>
  </si>
  <si>
    <t>2022-03-06</t>
  </si>
  <si>
    <t>18307848207</t>
  </si>
  <si>
    <t>曾桢</t>
  </si>
  <si>
    <t>JG003227</t>
  </si>
  <si>
    <t>2026-06-23</t>
  </si>
  <si>
    <t>JG000594</t>
  </si>
  <si>
    <t>采购员</t>
  </si>
  <si>
    <t>2024-09-03</t>
  </si>
  <si>
    <t>13178538194</t>
  </si>
  <si>
    <t>JG001309</t>
  </si>
  <si>
    <t>跟班机修</t>
  </si>
  <si>
    <t>2022-12-15</t>
  </si>
  <si>
    <t>13535996439</t>
  </si>
  <si>
    <t>陈必福</t>
  </si>
  <si>
    <t>JG001925</t>
  </si>
  <si>
    <t>2024-08-26</t>
  </si>
  <si>
    <t>陈朝义</t>
  </si>
  <si>
    <t>JG001385</t>
  </si>
  <si>
    <t>2023-02-06</t>
  </si>
  <si>
    <t>13925424116</t>
  </si>
  <si>
    <t>陈成</t>
  </si>
  <si>
    <t>JG003164</t>
  </si>
  <si>
    <t>2026-05-12</t>
  </si>
  <si>
    <t>陈德华</t>
  </si>
  <si>
    <t>JG000379</t>
  </si>
  <si>
    <t>13189698515</t>
  </si>
  <si>
    <t>陈东阳</t>
  </si>
  <si>
    <t>JG003015</t>
  </si>
  <si>
    <t>2026-03-02</t>
  </si>
  <si>
    <t>陈敦明</t>
  </si>
  <si>
    <t>JG000130</t>
  </si>
  <si>
    <t>2019-06-28</t>
  </si>
  <si>
    <t>13078416095</t>
  </si>
  <si>
    <t>陈飞</t>
  </si>
  <si>
    <t>JG002914</t>
  </si>
  <si>
    <t>2025-10-21</t>
  </si>
  <si>
    <t>陈冠航</t>
  </si>
  <si>
    <t>JG002710</t>
  </si>
  <si>
    <t>D班包装工</t>
  </si>
  <si>
    <t>2025-05-06</t>
  </si>
  <si>
    <t>19876366259</t>
  </si>
  <si>
    <t>陈国强</t>
  </si>
  <si>
    <t>JG003129</t>
  </si>
  <si>
    <t>A班包装工</t>
  </si>
  <si>
    <t>2026-04-25</t>
  </si>
  <si>
    <t>JG002329</t>
  </si>
  <si>
    <t>E班包装工</t>
  </si>
  <si>
    <t>2025-02-15</t>
  </si>
  <si>
    <t>18176781867</t>
  </si>
  <si>
    <t>JG003045</t>
  </si>
  <si>
    <t>2026-03-06</t>
  </si>
  <si>
    <t>JG001480</t>
  </si>
  <si>
    <t>2023-02-27</t>
  </si>
  <si>
    <t>15012970563</t>
  </si>
  <si>
    <t>陈洪盛</t>
  </si>
  <si>
    <t>JG002814</t>
  </si>
  <si>
    <t>2025-08-13</t>
  </si>
  <si>
    <t>JG000360</t>
  </si>
  <si>
    <t>2021-08-25</t>
  </si>
  <si>
    <t>13145715869</t>
  </si>
  <si>
    <t>陈家朗</t>
  </si>
  <si>
    <t>JG001235</t>
  </si>
  <si>
    <t>QC</t>
  </si>
  <si>
    <t>2026-05-01</t>
  </si>
  <si>
    <t>13106674513</t>
  </si>
  <si>
    <t>JG000053</t>
  </si>
  <si>
    <t>2015-06-27</t>
  </si>
  <si>
    <t>13726660756</t>
  </si>
  <si>
    <t>JG002767</t>
  </si>
  <si>
    <t>IQC</t>
  </si>
  <si>
    <t>18319634552</t>
  </si>
  <si>
    <t>陈金发</t>
  </si>
  <si>
    <t>JG000245</t>
  </si>
  <si>
    <t>E班生产班长</t>
  </si>
  <si>
    <t>2021-04-14</t>
  </si>
  <si>
    <t>13590602928</t>
  </si>
  <si>
    <t>陈开盛</t>
  </si>
  <si>
    <t>JG002763</t>
  </si>
  <si>
    <t>2025-06-23</t>
  </si>
  <si>
    <t>13087984287</t>
  </si>
  <si>
    <t>JG000160</t>
  </si>
  <si>
    <t>2020-03-23</t>
  </si>
  <si>
    <t>13392280103</t>
  </si>
  <si>
    <t>陈礼强</t>
  </si>
  <si>
    <t>JG000024</t>
  </si>
  <si>
    <t>2015-01-01</t>
  </si>
  <si>
    <t>13078126689</t>
  </si>
  <si>
    <t>陈利国</t>
  </si>
  <si>
    <t>JG001763</t>
  </si>
  <si>
    <t>销售主管</t>
  </si>
  <si>
    <t>2024-05-13</t>
  </si>
  <si>
    <t>18664278785</t>
  </si>
  <si>
    <t>陈利云</t>
  </si>
  <si>
    <t>JG002185</t>
  </si>
  <si>
    <t>2025-02-07</t>
  </si>
  <si>
    <t>15917015139</t>
  </si>
  <si>
    <t>JG001761</t>
  </si>
  <si>
    <t>17769486676</t>
  </si>
  <si>
    <t>陈六妹</t>
  </si>
  <si>
    <t>JG000013</t>
  </si>
  <si>
    <t>研发项目副主管</t>
  </si>
  <si>
    <t>13790931006</t>
  </si>
  <si>
    <t>JG002597</t>
  </si>
  <si>
    <t>2025-03-05</t>
  </si>
  <si>
    <t>13416472193</t>
  </si>
  <si>
    <t>JG000403</t>
  </si>
  <si>
    <t>17687204742</t>
  </si>
  <si>
    <t>JG000068</t>
  </si>
  <si>
    <t>B班下料员</t>
  </si>
  <si>
    <t>2016-06-29</t>
  </si>
  <si>
    <t>18038697488</t>
  </si>
  <si>
    <t>陈明宇</t>
  </si>
  <si>
    <t>JG000192</t>
  </si>
  <si>
    <t>品质文员</t>
  </si>
  <si>
    <t>2020-08-01</t>
  </si>
  <si>
    <t>13690167889</t>
  </si>
  <si>
    <t>JG000103</t>
  </si>
  <si>
    <t>2018-06-09</t>
  </si>
  <si>
    <t>18719228208</t>
  </si>
  <si>
    <t>JG000017</t>
  </si>
  <si>
    <t>15015578287</t>
  </si>
  <si>
    <t>陈水富</t>
  </si>
  <si>
    <t>JG000014</t>
  </si>
  <si>
    <t>经理</t>
  </si>
  <si>
    <t>13266368243</t>
  </si>
  <si>
    <t>陈泰</t>
  </si>
  <si>
    <t>JG002353</t>
  </si>
  <si>
    <t>2025-02-18</t>
  </si>
  <si>
    <t>18026569727</t>
  </si>
  <si>
    <t>JG000274</t>
  </si>
  <si>
    <t>科长</t>
  </si>
  <si>
    <t>2021-07-02</t>
  </si>
  <si>
    <t>18826238995</t>
  </si>
  <si>
    <t>JG003048</t>
  </si>
  <si>
    <t>A班下料员</t>
  </si>
  <si>
    <t>JG000059</t>
  </si>
  <si>
    <t>2016-01-13</t>
  </si>
  <si>
    <t>13415570501</t>
  </si>
  <si>
    <t>陈伟朝</t>
  </si>
  <si>
    <t>JG000061</t>
  </si>
  <si>
    <t>2016-02-26</t>
  </si>
  <si>
    <t>13143165351</t>
  </si>
  <si>
    <t>陈伟达</t>
  </si>
  <si>
    <t>JG002724</t>
  </si>
  <si>
    <t>2025-05-13</t>
  </si>
  <si>
    <t>13076665654</t>
  </si>
  <si>
    <t>陈文定</t>
  </si>
  <si>
    <t>JG002868</t>
  </si>
  <si>
    <t>2025-10-01</t>
  </si>
  <si>
    <t>JG002985</t>
  </si>
  <si>
    <t>高级项目工程师</t>
  </si>
  <si>
    <t>2025-12-08</t>
  </si>
  <si>
    <t>陈香桃</t>
  </si>
  <si>
    <t>JG002765</t>
  </si>
  <si>
    <t>2025-06-25</t>
  </si>
  <si>
    <t>18169437098</t>
  </si>
  <si>
    <t>陈翔宇</t>
  </si>
  <si>
    <t>JG002674</t>
  </si>
  <si>
    <t>13060787417</t>
  </si>
  <si>
    <t>陈逍瑞</t>
  </si>
  <si>
    <t>JG003239</t>
  </si>
  <si>
    <t>2026-06-29</t>
  </si>
  <si>
    <t>陈晓梅</t>
  </si>
  <si>
    <t>行政人员</t>
  </si>
  <si>
    <t>2022-01-01</t>
  </si>
  <si>
    <t>15815662220</t>
  </si>
  <si>
    <t>JG001093</t>
  </si>
  <si>
    <t>2022-09-16</t>
  </si>
  <si>
    <t>15394290663</t>
  </si>
  <si>
    <t>JG001846</t>
  </si>
  <si>
    <t>D班下料工</t>
  </si>
  <si>
    <t>2025-04-01</t>
  </si>
  <si>
    <t>陈新强①</t>
  </si>
  <si>
    <t>JG002796</t>
  </si>
  <si>
    <t>2025-07-18</t>
  </si>
  <si>
    <t>15916088282</t>
  </si>
  <si>
    <t>JG003202</t>
  </si>
  <si>
    <t>2026-06-10</t>
  </si>
  <si>
    <t>JG001384</t>
  </si>
  <si>
    <t>2023-02-03</t>
  </si>
  <si>
    <t>13760061102</t>
  </si>
  <si>
    <t>JG001612</t>
  </si>
  <si>
    <t>2023-10-09</t>
  </si>
  <si>
    <t>17860770665</t>
  </si>
  <si>
    <t>JG000097</t>
  </si>
  <si>
    <t>18344273282</t>
  </si>
  <si>
    <t>生产部-辅助人工（制造三科）</t>
  </si>
  <si>
    <t>JG003222</t>
  </si>
  <si>
    <t>2026-06-22</t>
  </si>
  <si>
    <t>陈远峰</t>
  </si>
  <si>
    <t>JG000462</t>
  </si>
  <si>
    <t>机修副班长</t>
  </si>
  <si>
    <t>2021-11-01</t>
  </si>
  <si>
    <t>15627673222</t>
  </si>
  <si>
    <t>陈远琴</t>
  </si>
  <si>
    <t>JG002801</t>
  </si>
  <si>
    <t>2025-07-22</t>
  </si>
  <si>
    <t>18933654976</t>
  </si>
  <si>
    <t>陈苑平</t>
  </si>
  <si>
    <t>JG000072</t>
  </si>
  <si>
    <t>财务经理</t>
  </si>
  <si>
    <t>2016-12-27</t>
  </si>
  <si>
    <t>13536600218</t>
  </si>
  <si>
    <t>JG001518</t>
  </si>
  <si>
    <t>2023-06-10</t>
  </si>
  <si>
    <t>13539238670</t>
  </si>
  <si>
    <t>陈赞杰</t>
  </si>
  <si>
    <t>JG000135</t>
  </si>
  <si>
    <t>QC组长</t>
  </si>
  <si>
    <t>13074260227</t>
  </si>
  <si>
    <t>陈泽光</t>
  </si>
  <si>
    <t>JG001487</t>
  </si>
  <si>
    <t>总监</t>
  </si>
  <si>
    <t>2023-03-01</t>
  </si>
  <si>
    <t>13590373105</t>
  </si>
  <si>
    <t>陈长辉</t>
  </si>
  <si>
    <t>JG002812</t>
  </si>
  <si>
    <t>2025-08-11</t>
  </si>
  <si>
    <t>JG000320</t>
  </si>
  <si>
    <t>C班下料员</t>
  </si>
  <si>
    <t>2021-08-03</t>
  </si>
  <si>
    <t>19197942460</t>
  </si>
  <si>
    <t>JG002120</t>
  </si>
  <si>
    <t>2026-03-24</t>
  </si>
  <si>
    <t>13421734805</t>
  </si>
  <si>
    <t>JG000164</t>
  </si>
  <si>
    <t>2020-04-23</t>
  </si>
  <si>
    <t>18318324868</t>
  </si>
  <si>
    <t>JG002091</t>
  </si>
  <si>
    <t>2024-10-15</t>
  </si>
  <si>
    <t>13824662179</t>
  </si>
  <si>
    <t>陈志远</t>
  </si>
  <si>
    <t>JG002795</t>
  </si>
  <si>
    <t>2025-07-17</t>
  </si>
  <si>
    <t>17585835956</t>
  </si>
  <si>
    <t>陈周红</t>
  </si>
  <si>
    <t>JG000125</t>
  </si>
  <si>
    <t>后勤杂工</t>
  </si>
  <si>
    <t>2018-04-17</t>
  </si>
  <si>
    <t>13703065740</t>
  </si>
  <si>
    <t>程家健</t>
  </si>
  <si>
    <t>JG000615</t>
  </si>
  <si>
    <t>2022-02-08</t>
  </si>
  <si>
    <t>18665538207</t>
  </si>
  <si>
    <t>程琼</t>
  </si>
  <si>
    <t>JG001807</t>
  </si>
  <si>
    <t>2024-06-07</t>
  </si>
  <si>
    <t>19585256718</t>
  </si>
  <si>
    <t>JG000517</t>
  </si>
  <si>
    <t>2022-03-01</t>
  </si>
  <si>
    <t>17374883006</t>
  </si>
  <si>
    <t>JG001738</t>
  </si>
  <si>
    <t>2024-05-02</t>
  </si>
  <si>
    <t>18077480315</t>
  </si>
  <si>
    <t>池燕婷</t>
  </si>
  <si>
    <t>JG001538</t>
  </si>
  <si>
    <t>行政文员</t>
  </si>
  <si>
    <t>2023-08-01</t>
  </si>
  <si>
    <t>13612528257</t>
  </si>
  <si>
    <t>崔秀珊</t>
  </si>
  <si>
    <t>JG002766</t>
  </si>
  <si>
    <t>2025-06-27</t>
  </si>
  <si>
    <t>13829723451</t>
  </si>
  <si>
    <t>JG000085</t>
  </si>
  <si>
    <t>2017-07-01</t>
  </si>
  <si>
    <t>15219723123</t>
  </si>
  <si>
    <t>JG001860</t>
  </si>
  <si>
    <t>2024-07-09</t>
  </si>
  <si>
    <t>邓崇楷</t>
  </si>
  <si>
    <t>JG003070</t>
  </si>
  <si>
    <t>JG003080</t>
  </si>
  <si>
    <t>2026-04-01</t>
  </si>
  <si>
    <t>邓静群</t>
  </si>
  <si>
    <t>JG000262</t>
  </si>
  <si>
    <t>生产文员</t>
  </si>
  <si>
    <t>2021-06-04</t>
  </si>
  <si>
    <t>15692471063</t>
  </si>
  <si>
    <t>邓丽娟</t>
  </si>
  <si>
    <t>JG000210</t>
  </si>
  <si>
    <t>2021-02-19</t>
  </si>
  <si>
    <t>13420629368</t>
  </si>
  <si>
    <t>邓利</t>
  </si>
  <si>
    <t>JG000488</t>
  </si>
  <si>
    <t>采购专员</t>
  </si>
  <si>
    <t>13724929801</t>
  </si>
  <si>
    <t>邓倩宇</t>
  </si>
  <si>
    <t>JG002799</t>
  </si>
  <si>
    <t>外贸跟单</t>
  </si>
  <si>
    <t>2025-07-21</t>
  </si>
  <si>
    <t>15011686172</t>
  </si>
  <si>
    <t>JG000554</t>
  </si>
  <si>
    <t>15986159323</t>
  </si>
  <si>
    <t>邓薪桃</t>
  </si>
  <si>
    <t>JG002582</t>
  </si>
  <si>
    <t>17374551709</t>
  </si>
  <si>
    <t>邓艳青</t>
  </si>
  <si>
    <t>JG001545</t>
  </si>
  <si>
    <t>后勤助理</t>
  </si>
  <si>
    <t>2018-07-24</t>
  </si>
  <si>
    <t>13640179631</t>
  </si>
  <si>
    <t>邓永久</t>
  </si>
  <si>
    <t>JG000985</t>
  </si>
  <si>
    <t>2022-07-01</t>
  </si>
  <si>
    <t>15820687102</t>
  </si>
  <si>
    <t>邓玉冰</t>
  </si>
  <si>
    <t>JG000158</t>
  </si>
  <si>
    <t>标识员</t>
  </si>
  <si>
    <t>2020-03-17</t>
  </si>
  <si>
    <t>13702754537</t>
  </si>
  <si>
    <t>邓源昌</t>
  </si>
  <si>
    <t>JG002157</t>
  </si>
  <si>
    <t>13553326072</t>
  </si>
  <si>
    <t>邓忠连</t>
  </si>
  <si>
    <t>JG002980</t>
  </si>
  <si>
    <t>2025-11-24</t>
  </si>
  <si>
    <t>JG002114</t>
  </si>
  <si>
    <t>销售支持</t>
  </si>
  <si>
    <t>2024-10-21</t>
  </si>
  <si>
    <t>13764846248</t>
  </si>
  <si>
    <t>2022-04-21</t>
  </si>
  <si>
    <t>JG001493</t>
  </si>
  <si>
    <t>吸波材料工程师</t>
  </si>
  <si>
    <t>2023-03-14</t>
  </si>
  <si>
    <t>15778003803</t>
  </si>
  <si>
    <t>JG002628</t>
  </si>
  <si>
    <t>15779744994</t>
  </si>
  <si>
    <t>JG001582</t>
  </si>
  <si>
    <t>仓库杂工</t>
  </si>
  <si>
    <t>2023-08-25</t>
  </si>
  <si>
    <t>18676502585</t>
  </si>
  <si>
    <t>董俊创</t>
  </si>
  <si>
    <t>JG003091</t>
  </si>
  <si>
    <t>2026-04-07</t>
  </si>
  <si>
    <t>董英豪</t>
  </si>
  <si>
    <t>JG000026</t>
  </si>
  <si>
    <t>2001-11-01</t>
  </si>
  <si>
    <t>13500250325</t>
  </si>
  <si>
    <t>杜国基</t>
  </si>
  <si>
    <t>JG000716</t>
  </si>
  <si>
    <t>中转仓司机</t>
  </si>
  <si>
    <t>2022-02-17</t>
  </si>
  <si>
    <t>13450552327</t>
  </si>
  <si>
    <t>方欣梅</t>
  </si>
  <si>
    <t>JG001684</t>
  </si>
  <si>
    <t>2024-03-18</t>
  </si>
  <si>
    <t>13106714696</t>
  </si>
  <si>
    <t>JG001000</t>
  </si>
  <si>
    <t>2022-07-12</t>
  </si>
  <si>
    <t>19851780352</t>
  </si>
  <si>
    <t>JG001590</t>
  </si>
  <si>
    <t>2023-09-12</t>
  </si>
  <si>
    <t>15975793384</t>
  </si>
  <si>
    <t>冯杰文</t>
  </si>
  <si>
    <t>JG002034</t>
  </si>
  <si>
    <t>19872942832</t>
  </si>
  <si>
    <t>冯锦荣</t>
  </si>
  <si>
    <t>JG002934</t>
  </si>
  <si>
    <t>2025-10-20</t>
  </si>
  <si>
    <t>冯文杰</t>
  </si>
  <si>
    <t>JG002177</t>
  </si>
  <si>
    <t>E班下料工</t>
  </si>
  <si>
    <t>13682291353</t>
  </si>
  <si>
    <t>冯小妃</t>
  </si>
  <si>
    <t>JG003218</t>
  </si>
  <si>
    <t>2026-06-18</t>
  </si>
  <si>
    <t>JG001249</t>
  </si>
  <si>
    <t>B班下料工</t>
  </si>
  <si>
    <t>2022-11-07</t>
  </si>
  <si>
    <t>13160589929</t>
  </si>
  <si>
    <t>冯志兵</t>
  </si>
  <si>
    <t>JG002990</t>
  </si>
  <si>
    <t>2025-12-15</t>
  </si>
  <si>
    <t>付全有</t>
  </si>
  <si>
    <t>JG001708</t>
  </si>
  <si>
    <t>业务主管</t>
  </si>
  <si>
    <t>2024-04-09</t>
  </si>
  <si>
    <t>15813677471</t>
  </si>
  <si>
    <t>JG000049</t>
  </si>
  <si>
    <t>2015-03-09</t>
  </si>
  <si>
    <t>18123566598</t>
  </si>
  <si>
    <t>付心成</t>
  </si>
  <si>
    <t>JG002901</t>
  </si>
  <si>
    <t>2025-10-11</t>
  </si>
  <si>
    <t>甘国维</t>
  </si>
  <si>
    <t>JG003225</t>
  </si>
  <si>
    <t>JG001448</t>
  </si>
  <si>
    <t>2023-02-16</t>
  </si>
  <si>
    <t>15078700463</t>
  </si>
  <si>
    <t>甘玉婷</t>
  </si>
  <si>
    <t>JG001822</t>
  </si>
  <si>
    <t>15778786465</t>
  </si>
  <si>
    <t>甘著丹</t>
  </si>
  <si>
    <t>JG002562</t>
  </si>
  <si>
    <t>2025-02-19</t>
  </si>
  <si>
    <t>13543601062</t>
  </si>
  <si>
    <t>JG000020</t>
  </si>
  <si>
    <t>司机</t>
  </si>
  <si>
    <t>13690168890</t>
  </si>
  <si>
    <t>高成琼</t>
  </si>
  <si>
    <t>JG002759</t>
  </si>
  <si>
    <t>2025-06-18</t>
  </si>
  <si>
    <t>15912356398</t>
  </si>
  <si>
    <t>高桂萍</t>
  </si>
  <si>
    <t>JG003028</t>
  </si>
  <si>
    <t>高妹妃</t>
  </si>
  <si>
    <t>JG000019</t>
  </si>
  <si>
    <t>薪酬绩效主管</t>
  </si>
  <si>
    <t>2024-07-01</t>
  </si>
  <si>
    <t>18675135279</t>
  </si>
  <si>
    <t>JG000113</t>
  </si>
  <si>
    <t>2019-02-16</t>
  </si>
  <si>
    <t>13143081566</t>
  </si>
  <si>
    <t>郭富成</t>
  </si>
  <si>
    <t>JG002653</t>
  </si>
  <si>
    <t>19164562308</t>
  </si>
  <si>
    <t>郭家保</t>
  </si>
  <si>
    <t>JG000873</t>
  </si>
  <si>
    <t>2022-04-11</t>
  </si>
  <si>
    <t>13433270808</t>
  </si>
  <si>
    <t>郭锦锋</t>
  </si>
  <si>
    <t>JG000138</t>
  </si>
  <si>
    <t>13168572709</t>
  </si>
  <si>
    <t>郭伟强</t>
  </si>
  <si>
    <t>JG003113</t>
  </si>
  <si>
    <t>2026-04-16</t>
  </si>
  <si>
    <t>JG000413</t>
  </si>
  <si>
    <t>2021-09-27</t>
  </si>
  <si>
    <t>13924539550</t>
  </si>
  <si>
    <t>郝义毅</t>
  </si>
  <si>
    <t>JG000075</t>
  </si>
  <si>
    <t>A班开机员</t>
  </si>
  <si>
    <t>2017-02-20</t>
  </si>
  <si>
    <t>15338322580</t>
  </si>
  <si>
    <t>何焯煌</t>
  </si>
  <si>
    <t>JG001633</t>
  </si>
  <si>
    <t>2023-11-02</t>
  </si>
  <si>
    <t>15917634095</t>
  </si>
  <si>
    <t>何翡翡</t>
  </si>
  <si>
    <t>JG001776</t>
  </si>
  <si>
    <t>2024-05-20</t>
  </si>
  <si>
    <t>13798669406</t>
  </si>
  <si>
    <t>何国深</t>
  </si>
  <si>
    <t>JG001625</t>
  </si>
  <si>
    <t>2023-10-25</t>
  </si>
  <si>
    <t>13425671390</t>
  </si>
  <si>
    <t>何海昌</t>
  </si>
  <si>
    <t>JG001047</t>
  </si>
  <si>
    <t>2022-09-01</t>
  </si>
  <si>
    <t>13924544057</t>
  </si>
  <si>
    <t>何嘉茵</t>
  </si>
  <si>
    <t>JG000254</t>
  </si>
  <si>
    <t>2021-05-17</t>
  </si>
  <si>
    <t>15015643454</t>
  </si>
  <si>
    <t>何金衡</t>
  </si>
  <si>
    <t>JG002800</t>
  </si>
  <si>
    <t>15577891016</t>
  </si>
  <si>
    <t>何美玲</t>
  </si>
  <si>
    <t>JG001670</t>
  </si>
  <si>
    <t>2024-02-28</t>
  </si>
  <si>
    <t>13535701005</t>
  </si>
  <si>
    <t>何强</t>
  </si>
  <si>
    <t>JG002122</t>
  </si>
  <si>
    <t>13277895571</t>
  </si>
  <si>
    <t>何燊良</t>
  </si>
  <si>
    <t>JG003051</t>
  </si>
  <si>
    <t>何世隆</t>
  </si>
  <si>
    <t>JG001938</t>
  </si>
  <si>
    <t>2024-09-02</t>
  </si>
  <si>
    <t>JG003178</t>
  </si>
  <si>
    <t>2026-05-15</t>
  </si>
  <si>
    <t>JG002944</t>
  </si>
  <si>
    <t>2025-10-27</t>
  </si>
  <si>
    <t>贺福奇</t>
  </si>
  <si>
    <t>JG000901</t>
  </si>
  <si>
    <t>2022-04-27</t>
  </si>
  <si>
    <t>17779939781</t>
  </si>
  <si>
    <t>贺满平</t>
  </si>
  <si>
    <t>JG002788</t>
  </si>
  <si>
    <t>2025-07-08</t>
  </si>
  <si>
    <t>19967942308</t>
  </si>
  <si>
    <t>JG002141</t>
  </si>
  <si>
    <t>2024-10-29</t>
  </si>
  <si>
    <t>15018133646</t>
  </si>
  <si>
    <t>JG002725</t>
  </si>
  <si>
    <t>J班普工</t>
  </si>
  <si>
    <t>2025-12-01</t>
  </si>
  <si>
    <t>13619473134</t>
  </si>
  <si>
    <t>生产部-直接人工（制造三科）</t>
  </si>
  <si>
    <t>侯海飞</t>
  </si>
  <si>
    <t>JG002930</t>
  </si>
  <si>
    <t>侯年学</t>
  </si>
  <si>
    <t>JG002057</t>
  </si>
  <si>
    <t>2024-12-04</t>
  </si>
  <si>
    <t>13923110960</t>
  </si>
  <si>
    <t>侯小松</t>
  </si>
  <si>
    <t>JG003198</t>
  </si>
  <si>
    <t>2026-06-03</t>
  </si>
  <si>
    <t>侯艳婷</t>
  </si>
  <si>
    <t>JG000141</t>
  </si>
  <si>
    <t>体系专员</t>
  </si>
  <si>
    <t>2019-10-17</t>
  </si>
  <si>
    <t>13690330612</t>
  </si>
  <si>
    <t>JG003228</t>
  </si>
  <si>
    <t>2026-06-24</t>
  </si>
  <si>
    <t>JG002577</t>
  </si>
  <si>
    <t>18390389075</t>
  </si>
  <si>
    <t>胡海波</t>
  </si>
  <si>
    <t>JG002837</t>
  </si>
  <si>
    <t>2026-01-01</t>
  </si>
  <si>
    <t>胡洪玲</t>
  </si>
  <si>
    <t>JG002331</t>
  </si>
  <si>
    <t>2025-02-14</t>
  </si>
  <si>
    <t>17876961461</t>
  </si>
  <si>
    <t>胡美</t>
  </si>
  <si>
    <t>JG003067</t>
  </si>
  <si>
    <t>胡梦圆</t>
  </si>
  <si>
    <t>JG002137</t>
  </si>
  <si>
    <t>2024-10-28</t>
  </si>
  <si>
    <t>18674559282</t>
  </si>
  <si>
    <t>JG000910</t>
  </si>
  <si>
    <t>研发助理助班</t>
  </si>
  <si>
    <t>2024-07-05</t>
  </si>
  <si>
    <t>15916599117</t>
  </si>
  <si>
    <t>胡绍纲</t>
  </si>
  <si>
    <t>JG003100</t>
  </si>
  <si>
    <t>2026-04-10</t>
  </si>
  <si>
    <t>JG002762</t>
  </si>
  <si>
    <t>15602563184</t>
  </si>
  <si>
    <t>JG001929</t>
  </si>
  <si>
    <t>F班下料工</t>
  </si>
  <si>
    <t>JG000118</t>
  </si>
  <si>
    <t>2019-03-11</t>
  </si>
  <si>
    <t>18316962499</t>
  </si>
  <si>
    <t>JG000347</t>
  </si>
  <si>
    <t>C班下料工</t>
  </si>
  <si>
    <t>2021-08-16</t>
  </si>
  <si>
    <t>13535609180</t>
  </si>
  <si>
    <t>JG001586</t>
  </si>
  <si>
    <t>A班下料工</t>
  </si>
  <si>
    <t>2025-06-11</t>
  </si>
  <si>
    <t>18789539060</t>
  </si>
  <si>
    <t>JG003004</t>
  </si>
  <si>
    <t>2026-02-26</t>
  </si>
  <si>
    <t>JG000851</t>
  </si>
  <si>
    <t>2022-03-22</t>
  </si>
  <si>
    <t>15277651763</t>
  </si>
  <si>
    <t>黄柏雄</t>
  </si>
  <si>
    <t>JG001274</t>
  </si>
  <si>
    <t>13471955323</t>
  </si>
  <si>
    <t>黄宝</t>
  </si>
  <si>
    <t>JG002557</t>
  </si>
  <si>
    <t>2026-03-01</t>
  </si>
  <si>
    <t>17373115837</t>
  </si>
  <si>
    <t>JG000801</t>
  </si>
  <si>
    <t>2022-03-08</t>
  </si>
  <si>
    <t>13393601210</t>
  </si>
  <si>
    <t>黄超亮</t>
  </si>
  <si>
    <t>JG000001</t>
  </si>
  <si>
    <t>总经理</t>
  </si>
  <si>
    <t>13703063007</t>
  </si>
  <si>
    <t>黄朝军</t>
  </si>
  <si>
    <t>JG000256</t>
  </si>
  <si>
    <t>18212909293</t>
  </si>
  <si>
    <t>黄朝日</t>
  </si>
  <si>
    <t>JG002961</t>
  </si>
  <si>
    <t>2025-11-07</t>
  </si>
  <si>
    <t>JG001250</t>
  </si>
  <si>
    <t>13415202649</t>
  </si>
  <si>
    <t>黄登先</t>
  </si>
  <si>
    <t>JG003047</t>
  </si>
  <si>
    <t>黄飞龙</t>
  </si>
  <si>
    <t>JG001420</t>
  </si>
  <si>
    <t>H班生产班长</t>
  </si>
  <si>
    <t>2023-02-09</t>
  </si>
  <si>
    <t>13534594487</t>
  </si>
  <si>
    <t>JG002698</t>
  </si>
  <si>
    <t>18200800518</t>
  </si>
  <si>
    <t>黄国雷</t>
  </si>
  <si>
    <t>JG002745</t>
  </si>
  <si>
    <t>2025-06-06</t>
  </si>
  <si>
    <t>13110965773</t>
  </si>
  <si>
    <t>黄海连</t>
  </si>
  <si>
    <t>JG002731</t>
  </si>
  <si>
    <t>2025-05-23</t>
  </si>
  <si>
    <t>18123596735</t>
  </si>
  <si>
    <t>JG001975</t>
  </si>
  <si>
    <t>2024-09-12</t>
  </si>
  <si>
    <t>JG001131</t>
  </si>
  <si>
    <t>2022-09-21</t>
  </si>
  <si>
    <t>13612505733</t>
  </si>
  <si>
    <t>JG000055</t>
  </si>
  <si>
    <t>采购主管</t>
  </si>
  <si>
    <t>2016-02-16</t>
  </si>
  <si>
    <t>13450573814</t>
  </si>
  <si>
    <t>JG003152</t>
  </si>
  <si>
    <t>生产储备干部</t>
  </si>
  <si>
    <t>2026-06-12</t>
  </si>
  <si>
    <t>JG000302</t>
  </si>
  <si>
    <t>2021-07-26</t>
  </si>
  <si>
    <t>15219881917</t>
  </si>
  <si>
    <t>黄健俊</t>
  </si>
  <si>
    <t>JG001162</t>
  </si>
  <si>
    <t>15986088425</t>
  </si>
  <si>
    <t>JG000962</t>
  </si>
  <si>
    <t>2022-05-25</t>
  </si>
  <si>
    <t>18826633216</t>
  </si>
  <si>
    <t>JG002300</t>
  </si>
  <si>
    <t>2025-02-11</t>
  </si>
  <si>
    <t>15876005793</t>
  </si>
  <si>
    <t>黄进奇</t>
  </si>
  <si>
    <t>JG002048</t>
  </si>
  <si>
    <t>2024-10-07</t>
  </si>
  <si>
    <t>18407587358</t>
  </si>
  <si>
    <t>JG001618</t>
  </si>
  <si>
    <t>2023-10-17</t>
  </si>
  <si>
    <t>18934353063</t>
  </si>
  <si>
    <t>黄俊辉</t>
  </si>
  <si>
    <t>JG003106</t>
  </si>
  <si>
    <t>2026-04-13</t>
  </si>
  <si>
    <t>黄俊深</t>
  </si>
  <si>
    <t>JG002805</t>
  </si>
  <si>
    <t>2025-08-01</t>
  </si>
  <si>
    <t>黄凯</t>
  </si>
  <si>
    <t>JG000069</t>
  </si>
  <si>
    <t>2016-07-13</t>
  </si>
  <si>
    <t>15574341065</t>
  </si>
  <si>
    <t>黄腊芬</t>
  </si>
  <si>
    <t>JG003008</t>
  </si>
  <si>
    <t>2026-02-27</t>
  </si>
  <si>
    <t>黄烙昌</t>
  </si>
  <si>
    <t>JG000010</t>
  </si>
  <si>
    <t>13534471949</t>
  </si>
  <si>
    <t>黄林烽</t>
  </si>
  <si>
    <t>JG002610</t>
  </si>
  <si>
    <t>18027781202</t>
  </si>
  <si>
    <t>黄明春</t>
  </si>
  <si>
    <t>JG003203</t>
  </si>
  <si>
    <t>2026-06-11</t>
  </si>
  <si>
    <t>黄铭强</t>
  </si>
  <si>
    <t>JG002996</t>
  </si>
  <si>
    <t>车间杂工</t>
  </si>
  <si>
    <t>JG000042</t>
  </si>
  <si>
    <t>机修班长</t>
  </si>
  <si>
    <t>2015-06-01</t>
  </si>
  <si>
    <t>13553956883</t>
  </si>
  <si>
    <t>JG001614</t>
  </si>
  <si>
    <t>2023-10-10</t>
  </si>
  <si>
    <t>15975883112</t>
  </si>
  <si>
    <t>黄思博</t>
  </si>
  <si>
    <t>JG001244</t>
  </si>
  <si>
    <t>15089550957</t>
  </si>
  <si>
    <t>黄田爱</t>
  </si>
  <si>
    <t>JG000009</t>
  </si>
  <si>
    <t>13553303686</t>
  </si>
  <si>
    <t>黄伟鸿</t>
  </si>
  <si>
    <t>JG000031</t>
  </si>
  <si>
    <t>2009-05-03</t>
  </si>
  <si>
    <t>13923114241</t>
  </si>
  <si>
    <t>黄伟林</t>
  </si>
  <si>
    <t>JG002719</t>
  </si>
  <si>
    <t>13077571590</t>
  </si>
  <si>
    <t>JG002715</t>
  </si>
  <si>
    <t>机修工</t>
  </si>
  <si>
    <t>2025-05-07</t>
  </si>
  <si>
    <t>15778576554</t>
  </si>
  <si>
    <t>黄信祥</t>
  </si>
  <si>
    <t>JG000015</t>
  </si>
  <si>
    <t>科长兼工艺科长</t>
  </si>
  <si>
    <t>18665456460</t>
  </si>
  <si>
    <t>JG001339</t>
  </si>
  <si>
    <t>15338320758</t>
  </si>
  <si>
    <t>黄艳</t>
  </si>
  <si>
    <t>JG000006</t>
  </si>
  <si>
    <t>总账会计</t>
  </si>
  <si>
    <t>2013-08-06</t>
  </si>
  <si>
    <t>13420829362</t>
  </si>
  <si>
    <t>黄扬波</t>
  </si>
  <si>
    <t>JG000025</t>
  </si>
  <si>
    <t>2014-05-01</t>
  </si>
  <si>
    <t>13590696599</t>
  </si>
  <si>
    <t>黄英飞</t>
  </si>
  <si>
    <t>JG002116</t>
  </si>
  <si>
    <t>15112902235</t>
  </si>
  <si>
    <t>JG003169</t>
  </si>
  <si>
    <t>人事文员</t>
  </si>
  <si>
    <t>2026-07-01</t>
  </si>
  <si>
    <t>黄育</t>
  </si>
  <si>
    <t>JG003054</t>
  </si>
  <si>
    <t>2026-03-12</t>
  </si>
  <si>
    <t>JG0000978</t>
  </si>
  <si>
    <t>安全专员</t>
  </si>
  <si>
    <t>2024-10-01</t>
  </si>
  <si>
    <t>13922059143</t>
  </si>
  <si>
    <t>JG001474</t>
  </si>
  <si>
    <t>2023-02-23</t>
  </si>
  <si>
    <t>13553476548</t>
  </si>
  <si>
    <t>黄长辉</t>
  </si>
  <si>
    <t>JG003082</t>
  </si>
  <si>
    <t>黄长青</t>
  </si>
  <si>
    <t>JG002163</t>
  </si>
  <si>
    <t>设备管理员</t>
  </si>
  <si>
    <t>2024-11-28</t>
  </si>
  <si>
    <t>13928567014</t>
  </si>
  <si>
    <t>黄志海</t>
  </si>
  <si>
    <t>JG000082</t>
  </si>
  <si>
    <t>B班生产班长</t>
  </si>
  <si>
    <t>2017-05-11</t>
  </si>
  <si>
    <t>13690299372</t>
  </si>
  <si>
    <t>黄志华</t>
  </si>
  <si>
    <t>JG002751</t>
  </si>
  <si>
    <t>2025-06-09</t>
  </si>
  <si>
    <t>18042838206</t>
  </si>
  <si>
    <t>黄柱新</t>
  </si>
  <si>
    <t>JG001239</t>
  </si>
  <si>
    <t>2021-05-20</t>
  </si>
  <si>
    <t>18098180842</t>
  </si>
  <si>
    <t>霍家东</t>
  </si>
  <si>
    <t>JG002769</t>
  </si>
  <si>
    <t>2025-07-01</t>
  </si>
  <si>
    <t>15521261995</t>
  </si>
  <si>
    <t>霍梁</t>
  </si>
  <si>
    <t>JG003105</t>
  </si>
  <si>
    <t>2026-04-11</t>
  </si>
  <si>
    <t>霍艳妹</t>
  </si>
  <si>
    <t>JG002768</t>
  </si>
  <si>
    <t>销售跟单</t>
  </si>
  <si>
    <t>13144131056</t>
  </si>
  <si>
    <t>JG002693</t>
  </si>
  <si>
    <t>清洁工</t>
  </si>
  <si>
    <t>2025-04-25</t>
  </si>
  <si>
    <t>13620100832</t>
  </si>
  <si>
    <t>姜宏伟</t>
  </si>
  <si>
    <t>JG000127</t>
  </si>
  <si>
    <t>姜文陈</t>
  </si>
  <si>
    <t>JG002614</t>
  </si>
  <si>
    <t>2025-03-21</t>
  </si>
  <si>
    <t>13018544058</t>
  </si>
  <si>
    <t>姜长聪</t>
  </si>
  <si>
    <t>JG002807</t>
  </si>
  <si>
    <t>蒋廷勤</t>
  </si>
  <si>
    <t>JG002889</t>
  </si>
  <si>
    <t>2025-10-08</t>
  </si>
  <si>
    <t>蒋燕飞</t>
  </si>
  <si>
    <t>JG002588</t>
  </si>
  <si>
    <t>2026-05-09</t>
  </si>
  <si>
    <t>17687707282</t>
  </si>
  <si>
    <t>靳晓雨</t>
  </si>
  <si>
    <t>JG000008</t>
  </si>
  <si>
    <t>科长（兼前沿一科科长）</t>
  </si>
  <si>
    <t>18042801618</t>
  </si>
  <si>
    <t>康东方</t>
  </si>
  <si>
    <t>JG002711</t>
  </si>
  <si>
    <t>13622932053</t>
  </si>
  <si>
    <t>孔德华</t>
  </si>
  <si>
    <t>JG002804</t>
  </si>
  <si>
    <t>2025-08-09</t>
  </si>
  <si>
    <t>孔令航</t>
  </si>
  <si>
    <t>JG002152</t>
  </si>
  <si>
    <t>15920525567</t>
  </si>
  <si>
    <t>邝嘉欣</t>
  </si>
  <si>
    <t>JG001485</t>
  </si>
  <si>
    <t>销售内勤</t>
  </si>
  <si>
    <t>15916139312</t>
  </si>
  <si>
    <t>邝连霞</t>
  </si>
  <si>
    <t>JG000313</t>
  </si>
  <si>
    <t>2021-08-02</t>
  </si>
  <si>
    <t>13760933826</t>
  </si>
  <si>
    <t>兰鼎</t>
  </si>
  <si>
    <t>JG003089</t>
  </si>
  <si>
    <t>蓝晓姗</t>
  </si>
  <si>
    <t>JG000531</t>
  </si>
  <si>
    <t>采购文员</t>
  </si>
  <si>
    <t>2021-12-20</t>
  </si>
  <si>
    <t>15602800785</t>
  </si>
  <si>
    <t>JG001943</t>
  </si>
  <si>
    <t>雷海</t>
  </si>
  <si>
    <t>JG001719</t>
  </si>
  <si>
    <t>2024-04-17</t>
  </si>
  <si>
    <t>13690219782</t>
  </si>
  <si>
    <t>雷金华</t>
  </si>
  <si>
    <t>JG003057</t>
  </si>
  <si>
    <t>JG001207</t>
  </si>
  <si>
    <t>2022-10-07</t>
  </si>
  <si>
    <t>13428350675</t>
  </si>
  <si>
    <t>雷永梅</t>
  </si>
  <si>
    <t>JG002833</t>
  </si>
  <si>
    <t>2025-09-02</t>
  </si>
  <si>
    <t>黎昌建</t>
  </si>
  <si>
    <t>JG002659</t>
  </si>
  <si>
    <t>17673357098</t>
  </si>
  <si>
    <t>黎德杰</t>
  </si>
  <si>
    <t>JG002987</t>
  </si>
  <si>
    <t>2025-12-13</t>
  </si>
  <si>
    <t>JG000638</t>
  </si>
  <si>
    <t>2022-02-09</t>
  </si>
  <si>
    <t>15107639979</t>
  </si>
  <si>
    <t>黎建</t>
  </si>
  <si>
    <t>JG001039</t>
  </si>
  <si>
    <t>15730038157</t>
  </si>
  <si>
    <t>黎健新</t>
  </si>
  <si>
    <t>JG002995</t>
  </si>
  <si>
    <t>黎思华</t>
  </si>
  <si>
    <t>13211185890</t>
  </si>
  <si>
    <t>黎文超</t>
  </si>
  <si>
    <t>JG002622</t>
  </si>
  <si>
    <t>15006289535</t>
  </si>
  <si>
    <t>JG001535</t>
  </si>
  <si>
    <t>窑炉工</t>
  </si>
  <si>
    <t>2023-07-24</t>
  </si>
  <si>
    <t>18578774296</t>
  </si>
  <si>
    <t>JG003183</t>
  </si>
  <si>
    <t>2026-05-25</t>
  </si>
  <si>
    <t>黎卓然</t>
  </si>
  <si>
    <t>JG000699</t>
  </si>
  <si>
    <t>2022-02-15</t>
  </si>
  <si>
    <t>18316493638</t>
  </si>
  <si>
    <t>黎子浩</t>
  </si>
  <si>
    <t>JG000176</t>
  </si>
  <si>
    <t>2020-06-10</t>
  </si>
  <si>
    <t>18378704988</t>
  </si>
  <si>
    <t>JG002322</t>
  </si>
  <si>
    <t>18377003007</t>
  </si>
  <si>
    <t>李彩华</t>
  </si>
  <si>
    <t>JG001370</t>
  </si>
  <si>
    <t>15078228108</t>
  </si>
  <si>
    <t>李彩霞</t>
  </si>
  <si>
    <t>JG000126</t>
  </si>
  <si>
    <t>后勤主管</t>
  </si>
  <si>
    <t>2018-08-21</t>
  </si>
  <si>
    <t>13825523408</t>
  </si>
  <si>
    <t>JG001853</t>
  </si>
  <si>
    <t>李春全</t>
  </si>
  <si>
    <t>JG001717</t>
  </si>
  <si>
    <t>18287665339</t>
  </si>
  <si>
    <t>李德伟</t>
  </si>
  <si>
    <t>JG001689</t>
  </si>
  <si>
    <t>2024-03-25</t>
  </si>
  <si>
    <t>13590695065</t>
  </si>
  <si>
    <t>李飞龙</t>
  </si>
  <si>
    <t>JG002771</t>
  </si>
  <si>
    <t>2025-07-02</t>
  </si>
  <si>
    <t>15078126174</t>
  </si>
  <si>
    <t>李凤州</t>
  </si>
  <si>
    <t>JG002764</t>
  </si>
  <si>
    <t>2025-06-19</t>
  </si>
  <si>
    <t>19152615613</t>
  </si>
  <si>
    <t>JG000984</t>
  </si>
  <si>
    <t>15776879206</t>
  </si>
  <si>
    <t>JG001926</t>
  </si>
  <si>
    <t>JG000060</t>
  </si>
  <si>
    <t>2016-02-25</t>
  </si>
  <si>
    <t>15038471324</t>
  </si>
  <si>
    <t>李国生</t>
  </si>
  <si>
    <t>JG000763</t>
  </si>
  <si>
    <t>15976628532</t>
  </si>
  <si>
    <t>李海万</t>
  </si>
  <si>
    <t>JG002190</t>
  </si>
  <si>
    <t>2025-02-10</t>
  </si>
  <si>
    <t>13242238025</t>
  </si>
  <si>
    <t>JG001213</t>
  </si>
  <si>
    <t>2022-10-11</t>
  </si>
  <si>
    <t>13022085783</t>
  </si>
  <si>
    <t>JG001018</t>
  </si>
  <si>
    <t>17679071103</t>
  </si>
  <si>
    <t>JG003021</t>
  </si>
  <si>
    <t>李辉雄</t>
  </si>
  <si>
    <t>JG001372</t>
  </si>
  <si>
    <t>2023-02-02</t>
  </si>
  <si>
    <t>15916000012</t>
  </si>
  <si>
    <t>JG000162</t>
  </si>
  <si>
    <t>2020-04-20</t>
  </si>
  <si>
    <t>18042819855</t>
  </si>
  <si>
    <t>李嘉豪</t>
  </si>
  <si>
    <t>JG000988</t>
  </si>
  <si>
    <t>2022-07-04</t>
  </si>
  <si>
    <t>13417253809</t>
  </si>
  <si>
    <t>李嘉炜</t>
  </si>
  <si>
    <t>JG002998</t>
  </si>
  <si>
    <t>JG001020</t>
  </si>
  <si>
    <t>2022-08-11</t>
  </si>
  <si>
    <t>15219268487</t>
  </si>
  <si>
    <t>李建文</t>
  </si>
  <si>
    <t>JG003179</t>
  </si>
  <si>
    <t>2026-05-18</t>
  </si>
  <si>
    <t>李剑粤</t>
  </si>
  <si>
    <t>JG002734</t>
  </si>
  <si>
    <t>2025-06-02</t>
  </si>
  <si>
    <t>15019328833</t>
  </si>
  <si>
    <t>李江玲</t>
  </si>
  <si>
    <t>JG001587</t>
  </si>
  <si>
    <t>18575853781</t>
  </si>
  <si>
    <t>李杰湛</t>
  </si>
  <si>
    <t>JG002572</t>
  </si>
  <si>
    <t>2025-02-24</t>
  </si>
  <si>
    <t>13249400887</t>
  </si>
  <si>
    <t>李坤</t>
  </si>
  <si>
    <t>JG000051</t>
  </si>
  <si>
    <t>车间助理</t>
  </si>
  <si>
    <t>2015-05-18</t>
  </si>
  <si>
    <t>13074237029</t>
  </si>
  <si>
    <t>JG003168</t>
  </si>
  <si>
    <t>李林泉</t>
  </si>
  <si>
    <t>JG000613</t>
  </si>
  <si>
    <t>18070984440</t>
  </si>
  <si>
    <t>李梅</t>
  </si>
  <si>
    <t>JG000512</t>
  </si>
  <si>
    <t>2021-12-01</t>
  </si>
  <si>
    <t>18218584830</t>
  </si>
  <si>
    <t>JG000845</t>
  </si>
  <si>
    <t>2022-03-19</t>
  </si>
  <si>
    <t>15126849748</t>
  </si>
  <si>
    <t>JG000048</t>
  </si>
  <si>
    <t>13433198506</t>
  </si>
  <si>
    <t>JG001413</t>
  </si>
  <si>
    <t>2023-02-08</t>
  </si>
  <si>
    <t>15071269108</t>
  </si>
  <si>
    <t>李启楠</t>
  </si>
  <si>
    <t>JG000327</t>
  </si>
  <si>
    <t>2021-08-05</t>
  </si>
  <si>
    <t>18823233028</t>
  </si>
  <si>
    <t>李群花</t>
  </si>
  <si>
    <t>JG003059</t>
  </si>
  <si>
    <t>2026-03-18</t>
  </si>
  <si>
    <t>JG001306</t>
  </si>
  <si>
    <t>18878959881</t>
  </si>
  <si>
    <t>李少英</t>
  </si>
  <si>
    <t>JG000200</t>
  </si>
  <si>
    <t>2020-10-19</t>
  </si>
  <si>
    <t>13687415729</t>
  </si>
  <si>
    <t>JG002568</t>
  </si>
  <si>
    <t>2024-06-27</t>
  </si>
  <si>
    <t>JG001234</t>
  </si>
  <si>
    <t>J班班长</t>
  </si>
  <si>
    <t>2019-03-01</t>
  </si>
  <si>
    <t>13690544517</t>
  </si>
  <si>
    <t>李文军</t>
  </si>
  <si>
    <t>JG000142</t>
  </si>
  <si>
    <t>组长</t>
  </si>
  <si>
    <t>2019-10-24</t>
  </si>
  <si>
    <t>13549966382</t>
  </si>
  <si>
    <t>JG000105</t>
  </si>
  <si>
    <t>2018-06-12</t>
  </si>
  <si>
    <t>15985490243</t>
  </si>
  <si>
    <t>JG002312</t>
  </si>
  <si>
    <t>15186351559</t>
  </si>
  <si>
    <t>李小英</t>
  </si>
  <si>
    <t>JG002154</t>
  </si>
  <si>
    <t>2024-11-18</t>
  </si>
  <si>
    <t>13425667583</t>
  </si>
  <si>
    <t>JG000550</t>
  </si>
  <si>
    <t>技术支持工程师</t>
  </si>
  <si>
    <t>2022-01-04</t>
  </si>
  <si>
    <t>13527667345</t>
  </si>
  <si>
    <t>李信伟</t>
  </si>
  <si>
    <t>JG002723</t>
  </si>
  <si>
    <t>15011864749</t>
  </si>
  <si>
    <t>李燕林</t>
  </si>
  <si>
    <t>JG003044</t>
  </si>
  <si>
    <t>李燕清</t>
  </si>
  <si>
    <t>JG000012</t>
  </si>
  <si>
    <t>推广专员</t>
  </si>
  <si>
    <t>15015643415</t>
  </si>
  <si>
    <t>JG000339</t>
  </si>
  <si>
    <t>2021-08-10</t>
  </si>
  <si>
    <t>13536661347</t>
  </si>
  <si>
    <t>李毅豪</t>
  </si>
  <si>
    <t>JG000874</t>
  </si>
  <si>
    <t>18928696867</t>
  </si>
  <si>
    <t>JG000183</t>
  </si>
  <si>
    <t>2020-07-06</t>
  </si>
  <si>
    <t>13539341338</t>
  </si>
  <si>
    <t>JG000046</t>
  </si>
  <si>
    <t>2015-03-03</t>
  </si>
  <si>
    <t>13288439003</t>
  </si>
  <si>
    <t>李永锋</t>
  </si>
  <si>
    <t>JG001744</t>
  </si>
  <si>
    <t>13925972860</t>
  </si>
  <si>
    <t>李永和</t>
  </si>
  <si>
    <t>JG002569</t>
  </si>
  <si>
    <t>19087254748</t>
  </si>
  <si>
    <t>李永嘉</t>
  </si>
  <si>
    <t>JG001204</t>
  </si>
  <si>
    <t>2022-10-06</t>
  </si>
  <si>
    <t>13392761878</t>
  </si>
  <si>
    <t>JG001541</t>
  </si>
  <si>
    <t>2023-08-07</t>
  </si>
  <si>
    <t>13669635445</t>
  </si>
  <si>
    <t>李勇</t>
  </si>
  <si>
    <t>JG003104</t>
  </si>
  <si>
    <t>李有福</t>
  </si>
  <si>
    <t>JG002309</t>
  </si>
  <si>
    <t>2026-03-20</t>
  </si>
  <si>
    <t>19325202313</t>
  </si>
  <si>
    <t>JG002625</t>
  </si>
  <si>
    <t>13117786561</t>
  </si>
  <si>
    <t>李志</t>
  </si>
  <si>
    <t>JG002744</t>
  </si>
  <si>
    <t>2025-06-05</t>
  </si>
  <si>
    <t>JG003027</t>
  </si>
  <si>
    <t>JG000503</t>
  </si>
  <si>
    <t>13695167673</t>
  </si>
  <si>
    <t>李钻仪</t>
  </si>
  <si>
    <t>JG000050</t>
  </si>
  <si>
    <t>2015-03-12</t>
  </si>
  <si>
    <t>13424694356</t>
  </si>
  <si>
    <t>梁秉佳</t>
  </si>
  <si>
    <t>JG000155</t>
  </si>
  <si>
    <t>2020-03-09</t>
  </si>
  <si>
    <t>13129094282</t>
  </si>
  <si>
    <t>梁伯健</t>
  </si>
  <si>
    <t>JG003150</t>
  </si>
  <si>
    <t>2026-05-07</t>
  </si>
  <si>
    <t>梁伯然</t>
  </si>
  <si>
    <t>JG002017</t>
  </si>
  <si>
    <t>2024-09-24</t>
  </si>
  <si>
    <t>13923112284</t>
  </si>
  <si>
    <t>JG000058</t>
  </si>
  <si>
    <t>2015-09-11</t>
  </si>
  <si>
    <t>15778644530</t>
  </si>
  <si>
    <t>梁定大</t>
  </si>
  <si>
    <t>JG002993</t>
  </si>
  <si>
    <t>梁定中</t>
  </si>
  <si>
    <t>JG000639</t>
  </si>
  <si>
    <t>13542558657</t>
  </si>
  <si>
    <t>JG001741</t>
  </si>
  <si>
    <t>13929857190</t>
  </si>
  <si>
    <t>JG002658</t>
  </si>
  <si>
    <t>13542949242</t>
  </si>
  <si>
    <t>JG003046</t>
  </si>
  <si>
    <t>JG001740</t>
  </si>
  <si>
    <t>17806596983</t>
  </si>
  <si>
    <t>梁嘉琪</t>
  </si>
  <si>
    <t>JG002327</t>
  </si>
  <si>
    <t>13726346344</t>
  </si>
  <si>
    <t>梁建怀</t>
  </si>
  <si>
    <t>JG002586</t>
  </si>
  <si>
    <t>2025-03-02</t>
  </si>
  <si>
    <t>13286506128</t>
  </si>
  <si>
    <t>梁健斌</t>
  </si>
  <si>
    <t>JG000101</t>
  </si>
  <si>
    <t>13925413261</t>
  </si>
  <si>
    <t>梁锦贤</t>
  </si>
  <si>
    <t>JG000093</t>
  </si>
  <si>
    <t>2018-01-19</t>
  </si>
  <si>
    <t>18927286787</t>
  </si>
  <si>
    <t>梁静思</t>
  </si>
  <si>
    <t>JG001870</t>
  </si>
  <si>
    <t>计划员</t>
  </si>
  <si>
    <t>2024-07-16</t>
  </si>
  <si>
    <t>JG001757</t>
  </si>
  <si>
    <t>2024-05-11</t>
  </si>
  <si>
    <t>18677411804</t>
  </si>
  <si>
    <t>JG001557</t>
  </si>
  <si>
    <t>2023-08-18</t>
  </si>
  <si>
    <t>13726678735</t>
  </si>
  <si>
    <t>JG003189</t>
  </si>
  <si>
    <t>2026-06-01</t>
  </si>
  <si>
    <t>梁敏华</t>
  </si>
  <si>
    <t>JG000047</t>
  </si>
  <si>
    <t>13433248904</t>
  </si>
  <si>
    <t>梁鸣岐</t>
  </si>
  <si>
    <t>JG000233</t>
  </si>
  <si>
    <t>品质专员</t>
  </si>
  <si>
    <t>2021-03-18</t>
  </si>
  <si>
    <t>13630045187</t>
  </si>
  <si>
    <t>梁其才</t>
  </si>
  <si>
    <t>JG003122</t>
  </si>
  <si>
    <t>2026-04-21</t>
  </si>
  <si>
    <t>JG003195</t>
  </si>
  <si>
    <t>2026-06-02</t>
  </si>
  <si>
    <t>JG001859</t>
  </si>
  <si>
    <t>2024-07-08</t>
  </si>
  <si>
    <t>JG001666</t>
  </si>
  <si>
    <t>2024-02-27</t>
  </si>
  <si>
    <t>13653060899</t>
  </si>
  <si>
    <t>梁泉广</t>
  </si>
  <si>
    <t>JG001910</t>
  </si>
  <si>
    <t>2024-08-20</t>
  </si>
  <si>
    <t>JG000045</t>
  </si>
  <si>
    <t>生产助理</t>
  </si>
  <si>
    <t>2015-01-31</t>
  </si>
  <si>
    <t>13726207436</t>
  </si>
  <si>
    <t>梁荣昌</t>
  </si>
  <si>
    <t>JG002926</t>
  </si>
  <si>
    <t>梁少彬</t>
  </si>
  <si>
    <t>JG002867</t>
  </si>
  <si>
    <t>2025-09-15</t>
  </si>
  <si>
    <t>梁维鹏</t>
  </si>
  <si>
    <t>JG002678</t>
  </si>
  <si>
    <t>2025-04-15</t>
  </si>
  <si>
    <t>13923102471</t>
  </si>
  <si>
    <t>JG000206</t>
  </si>
  <si>
    <t>2021-01-01</t>
  </si>
  <si>
    <t>13674071793</t>
  </si>
  <si>
    <t>梁伟棋</t>
  </si>
  <si>
    <t>JG002302</t>
  </si>
  <si>
    <t>18652135271</t>
  </si>
  <si>
    <t>梁伟星</t>
  </si>
  <si>
    <t>JG000175</t>
  </si>
  <si>
    <t>B班生产助班</t>
  </si>
  <si>
    <t>19926919903</t>
  </si>
  <si>
    <t>梁伟形</t>
  </si>
  <si>
    <t>JG002933</t>
  </si>
  <si>
    <t>梁伟源</t>
  </si>
  <si>
    <t>JG000534</t>
  </si>
  <si>
    <t>13168557847</t>
  </si>
  <si>
    <t>梁西凤</t>
  </si>
  <si>
    <t>JG002617</t>
  </si>
  <si>
    <t>13690770048</t>
  </si>
  <si>
    <t>JG001615</t>
  </si>
  <si>
    <t>2023-10-13</t>
  </si>
  <si>
    <t>19977961019</t>
  </si>
  <si>
    <t>梁雅芝</t>
  </si>
  <si>
    <t>JG000091</t>
  </si>
  <si>
    <t>会计</t>
  </si>
  <si>
    <t>2017-10-25</t>
  </si>
  <si>
    <t>13927727284</t>
  </si>
  <si>
    <t>梁艳丽</t>
  </si>
  <si>
    <t>JG003042</t>
  </si>
  <si>
    <t>2026-03-05</t>
  </si>
  <si>
    <t>梁耀兵</t>
  </si>
  <si>
    <t>JG001662</t>
  </si>
  <si>
    <t>2024-02-21</t>
  </si>
  <si>
    <t>18807506889</t>
  </si>
  <si>
    <t>梁意和</t>
  </si>
  <si>
    <t>JG001433</t>
  </si>
  <si>
    <t>2023-02-13</t>
  </si>
  <si>
    <t>13539963435</t>
  </si>
  <si>
    <t>JG002864</t>
  </si>
  <si>
    <t>仓库文员</t>
  </si>
  <si>
    <t>梁玉菲</t>
  </si>
  <si>
    <t>JG001781</t>
  </si>
  <si>
    <t>2024-05-25</t>
  </si>
  <si>
    <t>13336406464</t>
  </si>
  <si>
    <t>梁元开</t>
  </si>
  <si>
    <t>JG000673</t>
  </si>
  <si>
    <t>15602215166</t>
  </si>
  <si>
    <t>梁镇俭</t>
  </si>
  <si>
    <t>JG001682</t>
  </si>
  <si>
    <t>2024-03-14</t>
  </si>
  <si>
    <t>18894723698</t>
  </si>
  <si>
    <t>梁志塔</t>
  </si>
  <si>
    <t>JG003205</t>
  </si>
  <si>
    <t>生产巡查员</t>
  </si>
  <si>
    <t>JG002155</t>
  </si>
  <si>
    <t>13425889540</t>
  </si>
  <si>
    <t>JG000088</t>
  </si>
  <si>
    <t>C班生产助班</t>
  </si>
  <si>
    <t>2017-08-19</t>
  </si>
  <si>
    <t>13138209983</t>
  </si>
  <si>
    <t>廖彩燕</t>
  </si>
  <si>
    <t>JG000211</t>
  </si>
  <si>
    <t>18320368171</t>
  </si>
  <si>
    <t>JG002061</t>
  </si>
  <si>
    <t>18275412477</t>
  </si>
  <si>
    <t>JG001514</t>
  </si>
  <si>
    <t>2023-06-03</t>
  </si>
  <si>
    <t>15813423992</t>
  </si>
  <si>
    <t>JG003086</t>
  </si>
  <si>
    <t>2026-04-02</t>
  </si>
  <si>
    <t>JG003234</t>
  </si>
  <si>
    <t>2026-06-26</t>
  </si>
  <si>
    <t>廖水华</t>
  </si>
  <si>
    <t>JG002316</t>
  </si>
  <si>
    <t>2025-02-13</t>
  </si>
  <si>
    <t>18601559834</t>
  </si>
  <si>
    <t>廖威</t>
  </si>
  <si>
    <t>JG000190</t>
  </si>
  <si>
    <t>2020-07-23</t>
  </si>
  <si>
    <t>18307539025</t>
  </si>
  <si>
    <t>林焯洪</t>
  </si>
  <si>
    <t>JG001843</t>
  </si>
  <si>
    <t>林朝欢</t>
  </si>
  <si>
    <t>JG000240</t>
  </si>
  <si>
    <t>2021-04-08</t>
  </si>
  <si>
    <t>17878740347</t>
  </si>
  <si>
    <t>JG001694</t>
  </si>
  <si>
    <t>K班包装工</t>
  </si>
  <si>
    <t>2024-04-02</t>
  </si>
  <si>
    <t>13829305057</t>
  </si>
  <si>
    <t>林迪</t>
  </si>
  <si>
    <t>JG002150</t>
  </si>
  <si>
    <t>13380715879</t>
  </si>
  <si>
    <t>JG002570</t>
  </si>
  <si>
    <t>18927033052</t>
  </si>
  <si>
    <t>林家豪</t>
  </si>
  <si>
    <t>JG002835</t>
  </si>
  <si>
    <t>林金辉</t>
  </si>
  <si>
    <t>JG002997</t>
  </si>
  <si>
    <t>林俊杰</t>
  </si>
  <si>
    <t>JG002886</t>
  </si>
  <si>
    <t>JG000040</t>
  </si>
  <si>
    <t>工会主席</t>
  </si>
  <si>
    <t>2019-03-30</t>
  </si>
  <si>
    <t>13535720320</t>
  </si>
  <si>
    <t>林思翰</t>
  </si>
  <si>
    <t>JG002611</t>
  </si>
  <si>
    <t>审计主管</t>
  </si>
  <si>
    <t>2025-03-17</t>
  </si>
  <si>
    <t>13229028226</t>
  </si>
  <si>
    <t>JG002657</t>
  </si>
  <si>
    <t>2025-04-09</t>
  </si>
  <si>
    <t>17724374805</t>
  </si>
  <si>
    <t>林小夏</t>
  </si>
  <si>
    <t>JG003035</t>
  </si>
  <si>
    <t>林永福</t>
  </si>
  <si>
    <t>JG003132</t>
  </si>
  <si>
    <t>林源章</t>
  </si>
  <si>
    <t>JG002775</t>
  </si>
  <si>
    <t>2025-07-04</t>
  </si>
  <si>
    <t>15820663864</t>
  </si>
  <si>
    <t>林月华</t>
  </si>
  <si>
    <t>JG001613</t>
  </si>
  <si>
    <t>物料员</t>
  </si>
  <si>
    <t>13202627707</t>
  </si>
  <si>
    <t>林泽康</t>
  </si>
  <si>
    <t>JG001656</t>
  </si>
  <si>
    <t>C班开机员</t>
  </si>
  <si>
    <t>17730999128</t>
  </si>
  <si>
    <t>刘婵婵</t>
  </si>
  <si>
    <t>JG002730</t>
  </si>
  <si>
    <t>18718723393</t>
  </si>
  <si>
    <t>刘成刚</t>
  </si>
  <si>
    <t>JG001192</t>
  </si>
  <si>
    <t>13535643022</t>
  </si>
  <si>
    <t>刘付仕斌</t>
  </si>
  <si>
    <t>JG000296</t>
  </si>
  <si>
    <t>13288381167</t>
  </si>
  <si>
    <t>刘光美</t>
  </si>
  <si>
    <t>JG001353</t>
  </si>
  <si>
    <t>18748911849</t>
  </si>
  <si>
    <t>刘宏煊</t>
  </si>
  <si>
    <t>JG001643</t>
  </si>
  <si>
    <t>销售总监</t>
  </si>
  <si>
    <t>2023-12-01</t>
  </si>
  <si>
    <t>13302837788</t>
  </si>
  <si>
    <t>刘加洪</t>
  </si>
  <si>
    <t>JG002791</t>
  </si>
  <si>
    <t>2025-07-10</t>
  </si>
  <si>
    <t>13635968280</t>
  </si>
  <si>
    <t>刘建</t>
  </si>
  <si>
    <t>JG003052</t>
  </si>
  <si>
    <t>2026-03-09</t>
  </si>
  <si>
    <t>JG000169</t>
  </si>
  <si>
    <t>15977398670</t>
  </si>
  <si>
    <t>刘逵</t>
  </si>
  <si>
    <t>JG000030</t>
  </si>
  <si>
    <t>业务经理</t>
  </si>
  <si>
    <t>2009-11-12</t>
  </si>
  <si>
    <t>18902819879</t>
  </si>
  <si>
    <t>刘木金</t>
  </si>
  <si>
    <t>JG001700</t>
  </si>
  <si>
    <t>18588644734</t>
  </si>
  <si>
    <t>刘润华</t>
  </si>
  <si>
    <t>JG001928</t>
  </si>
  <si>
    <t>JG003009</t>
  </si>
  <si>
    <t>2026-02-28</t>
  </si>
  <si>
    <t>JG000104</t>
  </si>
  <si>
    <t>18286980578</t>
  </si>
  <si>
    <t>刘爽</t>
  </si>
  <si>
    <t>JG001829</t>
  </si>
  <si>
    <t>2024-06-21</t>
  </si>
  <si>
    <t>17782318614</t>
  </si>
  <si>
    <t>JG003219</t>
  </si>
  <si>
    <t>IT经理</t>
  </si>
  <si>
    <t>JG002753</t>
  </si>
  <si>
    <t>2026-02-01</t>
  </si>
  <si>
    <t>18979693442</t>
  </si>
  <si>
    <t>JG002900</t>
  </si>
  <si>
    <t>刘业安</t>
  </si>
  <si>
    <t>JG000152</t>
  </si>
  <si>
    <t>13049139553</t>
  </si>
  <si>
    <t>刘玉华</t>
  </si>
  <si>
    <t>JG001016</t>
  </si>
  <si>
    <t>2022-08-08</t>
  </si>
  <si>
    <t>13798683890</t>
  </si>
  <si>
    <t>刘玉玲</t>
  </si>
  <si>
    <t>JG000074</t>
  </si>
  <si>
    <t>2017-02-16</t>
  </si>
  <si>
    <t>13250125754</t>
  </si>
  <si>
    <t>刘远广</t>
  </si>
  <si>
    <t>JG002728</t>
  </si>
  <si>
    <t>13809254080</t>
  </si>
  <si>
    <t>刘院飘</t>
  </si>
  <si>
    <t>JG000607</t>
  </si>
  <si>
    <t>IT工程师</t>
  </si>
  <si>
    <t>13632356631</t>
  </si>
  <si>
    <t>刘运根</t>
  </si>
  <si>
    <t>JG000956</t>
  </si>
  <si>
    <t>2022-05-19</t>
  </si>
  <si>
    <t>13428031697</t>
  </si>
  <si>
    <t>刘振</t>
  </si>
  <si>
    <t>JG000007</t>
  </si>
  <si>
    <t>常务副总兼研发经理</t>
  </si>
  <si>
    <t>18688897436</t>
  </si>
  <si>
    <t>刘志凤</t>
  </si>
  <si>
    <t>JG000885</t>
  </si>
  <si>
    <t>2022-04-19</t>
  </si>
  <si>
    <t>17815511002</t>
  </si>
  <si>
    <t>JG002881</t>
  </si>
  <si>
    <t>龙旭平</t>
  </si>
  <si>
    <t>JG000623</t>
  </si>
  <si>
    <t>18520925536</t>
  </si>
  <si>
    <t>龙钟秀</t>
  </si>
  <si>
    <t>JG000123</t>
  </si>
  <si>
    <t>2019-05-13</t>
  </si>
  <si>
    <t>13657831550</t>
  </si>
  <si>
    <t>卢桂锋</t>
  </si>
  <si>
    <t>JG000191</t>
  </si>
  <si>
    <t>设备科长</t>
  </si>
  <si>
    <t>2020-07-24</t>
  </si>
  <si>
    <t>13928680844</t>
  </si>
  <si>
    <t>JG000291</t>
  </si>
  <si>
    <t>工艺工程师</t>
  </si>
  <si>
    <t>2021-07-14</t>
  </si>
  <si>
    <t>13539340616</t>
  </si>
  <si>
    <t>卢强</t>
  </si>
  <si>
    <t>VK000005</t>
  </si>
  <si>
    <t>18825100297</t>
  </si>
  <si>
    <t>JG002642</t>
  </si>
  <si>
    <t>13066479093</t>
  </si>
  <si>
    <t>鲁兴国</t>
  </si>
  <si>
    <t>JG002040</t>
  </si>
  <si>
    <t>2024-09-30</t>
  </si>
  <si>
    <t>17620977974</t>
  </si>
  <si>
    <t>JG000250</t>
  </si>
  <si>
    <t>2021-05-07</t>
  </si>
  <si>
    <t>15286770291</t>
  </si>
  <si>
    <t>陆成聪</t>
  </si>
  <si>
    <t>JG002994</t>
  </si>
  <si>
    <t>陆宏婷</t>
  </si>
  <si>
    <t>JG002320</t>
  </si>
  <si>
    <t>2025-10-13</t>
  </si>
  <si>
    <t>13670608704</t>
  </si>
  <si>
    <t>陆嘉升</t>
  </si>
  <si>
    <t>JG000165</t>
  </si>
  <si>
    <t>2020-04-26</t>
  </si>
  <si>
    <t>15118586363</t>
  </si>
  <si>
    <t>陆军华</t>
  </si>
  <si>
    <t>JG000153</t>
  </si>
  <si>
    <t>高位叉车司机</t>
  </si>
  <si>
    <t>2020-03-06</t>
  </si>
  <si>
    <t>13433226108</t>
  </si>
  <si>
    <t>陆敏婷</t>
  </si>
  <si>
    <t>JG001875</t>
  </si>
  <si>
    <t>2024-07-22</t>
  </si>
  <si>
    <t>陆明辉</t>
  </si>
  <si>
    <t>JG002184</t>
  </si>
  <si>
    <t>2025-02-08</t>
  </si>
  <si>
    <t>13415561297</t>
  </si>
  <si>
    <t>陆佩珊</t>
  </si>
  <si>
    <t>JG000844</t>
  </si>
  <si>
    <t>2022-03-18</t>
  </si>
  <si>
    <t>13924541556</t>
  </si>
  <si>
    <t>陆起俊</t>
  </si>
  <si>
    <t>JG002979</t>
  </si>
  <si>
    <t>陆清勇</t>
  </si>
  <si>
    <t>JG002740</t>
  </si>
  <si>
    <t>13590586828</t>
  </si>
  <si>
    <t>JG000184</t>
  </si>
  <si>
    <t>15019303669</t>
  </si>
  <si>
    <t>陆卓明</t>
  </si>
  <si>
    <t>JG001442</t>
  </si>
  <si>
    <t>招聘培训主管</t>
  </si>
  <si>
    <t>2023-02-14</t>
  </si>
  <si>
    <t>13924571081</t>
  </si>
  <si>
    <t>罗国恒</t>
  </si>
  <si>
    <t>JG003029</t>
  </si>
  <si>
    <t>2026-03-03</t>
  </si>
  <si>
    <t>JG000793</t>
  </si>
  <si>
    <t>2022-03-07</t>
  </si>
  <si>
    <t>15627201049</t>
  </si>
  <si>
    <t>罗红兰</t>
  </si>
  <si>
    <t>JG000244</t>
  </si>
  <si>
    <t>2021-04-13</t>
  </si>
  <si>
    <t>15915238906</t>
  </si>
  <si>
    <t>罗惠明</t>
  </si>
  <si>
    <t>JG000063</t>
  </si>
  <si>
    <t>2016-03-01</t>
  </si>
  <si>
    <t>13426846744</t>
  </si>
  <si>
    <t>罗加星</t>
  </si>
  <si>
    <t>JG000117</t>
  </si>
  <si>
    <t>2019-03-06</t>
  </si>
  <si>
    <t>17328082830</t>
  </si>
  <si>
    <t>罗琪成</t>
  </si>
  <si>
    <t>JG000156</t>
  </si>
  <si>
    <t>13695249236</t>
  </si>
  <si>
    <t>JG002305</t>
  </si>
  <si>
    <t>2025-02-12</t>
  </si>
  <si>
    <t>19100728910</t>
  </si>
  <si>
    <t>JG002902</t>
  </si>
  <si>
    <t>罗炜亮</t>
  </si>
  <si>
    <t>JG003240</t>
  </si>
  <si>
    <t>JG000021</t>
  </si>
  <si>
    <t>13415595119</t>
  </si>
  <si>
    <t>罗跃洪</t>
  </si>
  <si>
    <t>JG000188</t>
  </si>
  <si>
    <t>2020-07-20</t>
  </si>
  <si>
    <t>19867879469</t>
  </si>
  <si>
    <t>JG000121</t>
  </si>
  <si>
    <t>2019-04-01</t>
  </si>
  <si>
    <t>13726982373</t>
  </si>
  <si>
    <t>吕琳</t>
  </si>
  <si>
    <t>JW000002</t>
  </si>
  <si>
    <t>销售助理</t>
  </si>
  <si>
    <t>2020-05-01</t>
  </si>
  <si>
    <t>13534576076</t>
  </si>
  <si>
    <t>JG002632</t>
  </si>
  <si>
    <t>13929184005</t>
  </si>
  <si>
    <t>马高波</t>
  </si>
  <si>
    <t>JG002328</t>
  </si>
  <si>
    <t>18575798415</t>
  </si>
  <si>
    <t>马宏年</t>
  </si>
  <si>
    <t>JG000446</t>
  </si>
  <si>
    <t>2021-10-14</t>
  </si>
  <si>
    <t>13543679479</t>
  </si>
  <si>
    <t>马金银</t>
  </si>
  <si>
    <t>JG002005</t>
  </si>
  <si>
    <t>2024-11-04</t>
  </si>
  <si>
    <t>15361881534</t>
  </si>
  <si>
    <t>马俊杰</t>
  </si>
  <si>
    <t>13794038119</t>
  </si>
  <si>
    <t>麦翠红</t>
  </si>
  <si>
    <t>JG003012</t>
  </si>
  <si>
    <t>麦惠晶</t>
  </si>
  <si>
    <t>JG000003</t>
  </si>
  <si>
    <t>采购工程师</t>
  </si>
  <si>
    <t>13534323819</t>
  </si>
  <si>
    <t>麦荣鑫</t>
  </si>
  <si>
    <t>JG002167</t>
  </si>
  <si>
    <t>2024-12-03</t>
  </si>
  <si>
    <t>蒙振米</t>
  </si>
  <si>
    <t>JG002757</t>
  </si>
  <si>
    <t>2025-06-12</t>
  </si>
  <si>
    <t>18176788551</t>
  </si>
  <si>
    <t>蒙自婷</t>
  </si>
  <si>
    <t>JG001504</t>
  </si>
  <si>
    <t>2021-03-11</t>
  </si>
  <si>
    <t>18027654118</t>
  </si>
  <si>
    <t>蒙自新</t>
  </si>
  <si>
    <t>JG000864</t>
  </si>
  <si>
    <t>2022-03-28</t>
  </si>
  <si>
    <t>17688276386</t>
  </si>
  <si>
    <t>磨焕</t>
  </si>
  <si>
    <t>JG002684</t>
  </si>
  <si>
    <t>2025-04-23</t>
  </si>
  <si>
    <t>18076307189</t>
  </si>
  <si>
    <t>莫才化</t>
  </si>
  <si>
    <t>JG000912</t>
  </si>
  <si>
    <t>2022-05-03</t>
  </si>
  <si>
    <t>13119860879</t>
  </si>
  <si>
    <t>莫德强</t>
  </si>
  <si>
    <t>JG001489</t>
  </si>
  <si>
    <t>2023-03-03</t>
  </si>
  <si>
    <t>13724619209</t>
  </si>
  <si>
    <t>JG000102</t>
  </si>
  <si>
    <t>13435800298</t>
  </si>
  <si>
    <t>莫红叁</t>
  </si>
  <si>
    <t>JG003058</t>
  </si>
  <si>
    <t>2026-03-17</t>
  </si>
  <si>
    <t>JG000078</t>
  </si>
  <si>
    <t>2017-03-15</t>
  </si>
  <si>
    <t>15875733171</t>
  </si>
  <si>
    <t>莫现凡</t>
  </si>
  <si>
    <t>JG003157</t>
  </si>
  <si>
    <t>2026-05-08</t>
  </si>
  <si>
    <t>莫义冰</t>
  </si>
  <si>
    <t>JG003156</t>
  </si>
  <si>
    <t>JG001773</t>
  </si>
  <si>
    <t>2024-05-17</t>
  </si>
  <si>
    <t>17665278183</t>
  </si>
  <si>
    <t>莫永祥</t>
  </si>
  <si>
    <t>JG003112</t>
  </si>
  <si>
    <t>JG000100</t>
  </si>
  <si>
    <t>2018-06-06</t>
  </si>
  <si>
    <t>18316787487</t>
  </si>
  <si>
    <t>JG002110</t>
  </si>
  <si>
    <t>2024-10-19</t>
  </si>
  <si>
    <t>18520970109</t>
  </si>
  <si>
    <t>牛玉亮</t>
  </si>
  <si>
    <t>JG001743</t>
  </si>
  <si>
    <t>19193850602</t>
  </si>
  <si>
    <t>农兆旭</t>
  </si>
  <si>
    <t>JG002717</t>
  </si>
  <si>
    <t>2025-05-10</t>
  </si>
  <si>
    <t>19854464828</t>
  </si>
  <si>
    <t>欧成翔</t>
  </si>
  <si>
    <t>JG002643</t>
  </si>
  <si>
    <t>2025-04-07</t>
  </si>
  <si>
    <t>13667865841</t>
  </si>
  <si>
    <t>欧庚连</t>
  </si>
  <si>
    <t>JG001896</t>
  </si>
  <si>
    <t>杂工</t>
  </si>
  <si>
    <t>2025-06-01</t>
  </si>
  <si>
    <t>欧广恒</t>
  </si>
  <si>
    <t>JG001503</t>
  </si>
  <si>
    <t>2019-05-05</t>
  </si>
  <si>
    <t>15989962162</t>
  </si>
  <si>
    <t>JG000861</t>
  </si>
  <si>
    <t>13077414313</t>
  </si>
  <si>
    <t>欧明杰</t>
  </si>
  <si>
    <t>JG003125</t>
  </si>
  <si>
    <t>2026-04-23</t>
  </si>
  <si>
    <t>欧阳凯怡</t>
  </si>
  <si>
    <t>JG000109</t>
  </si>
  <si>
    <t>项目申报专员</t>
  </si>
  <si>
    <t>2018-08-29</t>
  </si>
  <si>
    <t>15626293885</t>
  </si>
  <si>
    <t>欧阳玉霞</t>
  </si>
  <si>
    <t>JG001414</t>
  </si>
  <si>
    <t>13516555990</t>
  </si>
  <si>
    <t>潘方乾</t>
  </si>
  <si>
    <t>JG002776</t>
  </si>
  <si>
    <t>2025-07-07</t>
  </si>
  <si>
    <t>13367626173</t>
  </si>
  <si>
    <t>潘怀星</t>
  </si>
  <si>
    <t>JG002722</t>
  </si>
  <si>
    <t>15977828938</t>
  </si>
  <si>
    <t>JG002578</t>
  </si>
  <si>
    <t>2025-02-26</t>
  </si>
  <si>
    <t>15977886110</t>
  </si>
  <si>
    <t>潘佩珍</t>
  </si>
  <si>
    <t>JG000241</t>
  </si>
  <si>
    <t>2021-04-09</t>
  </si>
  <si>
    <t>15916112667</t>
  </si>
  <si>
    <t>潘绮乔</t>
  </si>
  <si>
    <t>JG002971</t>
  </si>
  <si>
    <t>2025-11-17</t>
  </si>
  <si>
    <t>JG002135</t>
  </si>
  <si>
    <t>15989109586</t>
  </si>
  <si>
    <t>潘铨洪</t>
  </si>
  <si>
    <t>JG002786</t>
  </si>
  <si>
    <t>18023343648</t>
  </si>
  <si>
    <t>潘世键</t>
  </si>
  <si>
    <t>JG000637</t>
  </si>
  <si>
    <t>18819773474</t>
  </si>
  <si>
    <t>潘希勇</t>
  </si>
  <si>
    <t>JG000140</t>
  </si>
  <si>
    <t>2019-09-23</t>
  </si>
  <si>
    <t>13535764190</t>
  </si>
  <si>
    <t>潘英彩</t>
  </si>
  <si>
    <t>销售员</t>
  </si>
  <si>
    <t>2024-04-18</t>
  </si>
  <si>
    <t>13420643955</t>
  </si>
  <si>
    <t>潘咏乾</t>
  </si>
  <si>
    <t>JG000717</t>
  </si>
  <si>
    <t>13450806248</t>
  </si>
  <si>
    <t>潘志桢</t>
  </si>
  <si>
    <t>JG001124</t>
  </si>
  <si>
    <t>18025979836</t>
  </si>
  <si>
    <t>JG001233</t>
  </si>
  <si>
    <t>15916036076</t>
  </si>
  <si>
    <t>盘经文</t>
  </si>
  <si>
    <t>JG002151</t>
  </si>
  <si>
    <t>2024-11-15</t>
  </si>
  <si>
    <t>15817821146</t>
  </si>
  <si>
    <t>JG002089</t>
  </si>
  <si>
    <t>19136544861</t>
  </si>
  <si>
    <t>JG002939</t>
  </si>
  <si>
    <t>2025-10-25</t>
  </si>
  <si>
    <t>JG002121</t>
  </si>
  <si>
    <t>18313782573</t>
  </si>
  <si>
    <t>JG003026</t>
  </si>
  <si>
    <t>彭爱英</t>
  </si>
  <si>
    <t>JG000219</t>
  </si>
  <si>
    <t>2021-03-01</t>
  </si>
  <si>
    <t>13590512416</t>
  </si>
  <si>
    <t>JG002844</t>
  </si>
  <si>
    <t>2025-09-08</t>
  </si>
  <si>
    <t>彭春光</t>
  </si>
  <si>
    <t>JG000004</t>
  </si>
  <si>
    <t>13923127012</t>
  </si>
  <si>
    <t>JG003043</t>
  </si>
  <si>
    <t>彭海健</t>
  </si>
  <si>
    <t>JG001416</t>
  </si>
  <si>
    <t>13680038077</t>
  </si>
  <si>
    <t>JG001855</t>
  </si>
  <si>
    <t>JG002845</t>
  </si>
  <si>
    <t>JG001847</t>
  </si>
  <si>
    <t>彭明坚</t>
  </si>
  <si>
    <t>JG002843</t>
  </si>
  <si>
    <t>彭沛华</t>
  </si>
  <si>
    <t>JG002680</t>
  </si>
  <si>
    <t>2025-04-16</t>
  </si>
  <si>
    <t>13535935046</t>
  </si>
  <si>
    <t>彭学良</t>
  </si>
  <si>
    <t>JG002969</t>
  </si>
  <si>
    <t>2025-11-12</t>
  </si>
  <si>
    <t>JG003138</t>
  </si>
  <si>
    <t>2026-05-06</t>
  </si>
  <si>
    <t>钱国莲</t>
  </si>
  <si>
    <t>JG002736</t>
  </si>
  <si>
    <t>18488217289</t>
  </si>
  <si>
    <t>JG001848</t>
  </si>
  <si>
    <t>2024-07-02</t>
  </si>
  <si>
    <t>乔亚军</t>
  </si>
  <si>
    <t>JG002605</t>
  </si>
  <si>
    <t>2025-03-11</t>
  </si>
  <si>
    <t>13982881771</t>
  </si>
  <si>
    <t>秦雪华</t>
  </si>
  <si>
    <t>JG002649</t>
  </si>
  <si>
    <t>13160997839</t>
  </si>
  <si>
    <t>JG003134</t>
  </si>
  <si>
    <t>丘远明</t>
  </si>
  <si>
    <t>JG001804</t>
  </si>
  <si>
    <t>13726392026</t>
  </si>
  <si>
    <t>邱东</t>
  </si>
  <si>
    <t>JG002991</t>
  </si>
  <si>
    <t>2025-12-18</t>
  </si>
  <si>
    <t>邱民林</t>
  </si>
  <si>
    <t>JG003153</t>
  </si>
  <si>
    <t>邱其金</t>
  </si>
  <si>
    <t>JG001991</t>
  </si>
  <si>
    <t>2024-09-14</t>
  </si>
  <si>
    <t>15297725939</t>
  </si>
  <si>
    <t>邱雁梁</t>
  </si>
  <si>
    <t>JG003041</t>
  </si>
  <si>
    <t>区妙心</t>
  </si>
  <si>
    <t>JG001903</t>
  </si>
  <si>
    <t>2024-08-16</t>
  </si>
  <si>
    <t>区巧嫦</t>
  </si>
  <si>
    <t>JG000146</t>
  </si>
  <si>
    <t>2020-01-02</t>
  </si>
  <si>
    <t>13553310172</t>
  </si>
  <si>
    <t>区庆芬</t>
  </si>
  <si>
    <t>JG000064</t>
  </si>
  <si>
    <t>2016-03-24</t>
  </si>
  <si>
    <t>13925905863</t>
  </si>
  <si>
    <t>区伟生</t>
  </si>
  <si>
    <t>JG003212</t>
  </si>
  <si>
    <t>2026-06-15</t>
  </si>
  <si>
    <t>JG003236</t>
  </si>
  <si>
    <t>区梓其</t>
  </si>
  <si>
    <t>JG003210</t>
  </si>
  <si>
    <t>精益工程师</t>
  </si>
  <si>
    <t>JG002641</t>
  </si>
  <si>
    <t>15017661343</t>
  </si>
  <si>
    <t>JG000033</t>
  </si>
  <si>
    <t>水电杂工</t>
  </si>
  <si>
    <t>13690616361</t>
  </si>
  <si>
    <t>JG002686</t>
  </si>
  <si>
    <t>2025-04-22</t>
  </si>
  <si>
    <t>13528900076</t>
  </si>
  <si>
    <t>冉彩琴</t>
  </si>
  <si>
    <t>JG002350</t>
  </si>
  <si>
    <t>18690769171</t>
  </si>
  <si>
    <t>冉超</t>
  </si>
  <si>
    <t>JG002629</t>
  </si>
  <si>
    <t>18072063537</t>
  </si>
  <si>
    <t>冉东升</t>
  </si>
  <si>
    <t>JG002351</t>
  </si>
  <si>
    <t>15285982475</t>
  </si>
  <si>
    <t>冉飞</t>
  </si>
  <si>
    <t>JG002596</t>
  </si>
  <si>
    <t>2026-04-20</t>
  </si>
  <si>
    <t>15986086196</t>
  </si>
  <si>
    <t>冉玲玲</t>
  </si>
  <si>
    <t>JG002931</t>
  </si>
  <si>
    <t>冉茂荣</t>
  </si>
  <si>
    <t>JG002739</t>
  </si>
  <si>
    <t>2025-09-01</t>
  </si>
  <si>
    <t>19917066059</t>
  </si>
  <si>
    <t>冉茂荣s-HRDEL250611135403</t>
  </si>
  <si>
    <t>JG002739s-HRDEL250611135403</t>
  </si>
  <si>
    <t>JG002103</t>
  </si>
  <si>
    <t>2024-10-18</t>
  </si>
  <si>
    <t>13652900898</t>
  </si>
  <si>
    <t>冉旭玲</t>
  </si>
  <si>
    <t>JG002307</t>
  </si>
  <si>
    <t>15986085786</t>
  </si>
  <si>
    <t>JG003213</t>
  </si>
  <si>
    <t>JG000268</t>
  </si>
  <si>
    <t>2021-06-16</t>
  </si>
  <si>
    <t>18224736603</t>
  </si>
  <si>
    <t>任茂坤</t>
  </si>
  <si>
    <t>JG003085</t>
  </si>
  <si>
    <t>JG000065</t>
  </si>
  <si>
    <t>2017-02-04</t>
  </si>
  <si>
    <t>13413865847</t>
  </si>
  <si>
    <t>JG001217</t>
  </si>
  <si>
    <t>15288614592</t>
  </si>
  <si>
    <t>JG003000</t>
  </si>
  <si>
    <t>2026-01-02</t>
  </si>
  <si>
    <t>邵雪华</t>
  </si>
  <si>
    <t>JG001501</t>
  </si>
  <si>
    <t>2023-04-24</t>
  </si>
  <si>
    <t>13144130927</t>
  </si>
  <si>
    <t>沈博伦</t>
  </si>
  <si>
    <t>JG002096</t>
  </si>
  <si>
    <t>2024-10-16</t>
  </si>
  <si>
    <t>13560501930</t>
  </si>
  <si>
    <t>沈啟帆</t>
  </si>
  <si>
    <t>JG001721</t>
  </si>
  <si>
    <t>华东业务员</t>
  </si>
  <si>
    <t>2024-04-19</t>
  </si>
  <si>
    <t>18662158173</t>
  </si>
  <si>
    <t>JG000120</t>
  </si>
  <si>
    <t>网络推广专员</t>
  </si>
  <si>
    <t>2019-03-26</t>
  </si>
  <si>
    <t>13590680211</t>
  </si>
  <si>
    <t>沈字鑫</t>
  </si>
  <si>
    <t>JG000185</t>
  </si>
  <si>
    <t>15876857175</t>
  </si>
  <si>
    <t>审计</t>
  </si>
  <si>
    <t>JG003017</t>
  </si>
  <si>
    <t>石家演</t>
  </si>
  <si>
    <t>JG002304</t>
  </si>
  <si>
    <t>15792175009</t>
  </si>
  <si>
    <t>舒绍裕</t>
  </si>
  <si>
    <t>JG003053</t>
  </si>
  <si>
    <t>舒新</t>
  </si>
  <si>
    <t>JG002706</t>
  </si>
  <si>
    <t>13536601096</t>
  </si>
  <si>
    <t>宋承驹</t>
  </si>
  <si>
    <t>JG002188</t>
  </si>
  <si>
    <t>18312123099</t>
  </si>
  <si>
    <t>JG002846</t>
  </si>
  <si>
    <t>JG000034</t>
  </si>
  <si>
    <t>现场培训员</t>
  </si>
  <si>
    <t>2025-01-01</t>
  </si>
  <si>
    <t>13728521893</t>
  </si>
  <si>
    <t>苏成林</t>
  </si>
  <si>
    <t>VK000003</t>
  </si>
  <si>
    <t>2015-04-10</t>
  </si>
  <si>
    <t>13690495072</t>
  </si>
  <si>
    <t>苏广绍</t>
  </si>
  <si>
    <t>JG000136</t>
  </si>
  <si>
    <t>2019-08-19</t>
  </si>
  <si>
    <t>13226670886</t>
  </si>
  <si>
    <t>苏惠芳</t>
  </si>
  <si>
    <t>JG000508</t>
  </si>
  <si>
    <t>13686523678</t>
  </si>
  <si>
    <t>苏念坤</t>
  </si>
  <si>
    <t>JG000979</t>
  </si>
  <si>
    <t>13690504478</t>
  </si>
  <si>
    <t>苏念通</t>
  </si>
  <si>
    <t>JG000836</t>
  </si>
  <si>
    <t>2022-03-16</t>
  </si>
  <si>
    <t>15918052807</t>
  </si>
  <si>
    <t>苏佩仪</t>
  </si>
  <si>
    <t>JG000265</t>
  </si>
  <si>
    <t>项目助理</t>
  </si>
  <si>
    <t>13246324140</t>
  </si>
  <si>
    <t>苏启轩</t>
  </si>
  <si>
    <t>JG001994</t>
  </si>
  <si>
    <t>苏晓晴</t>
  </si>
  <si>
    <t>JG001424</t>
  </si>
  <si>
    <t>2023-02-10</t>
  </si>
  <si>
    <t>13160963692</t>
  </si>
  <si>
    <t>JG000252</t>
  </si>
  <si>
    <t>2021-05-13</t>
  </si>
  <si>
    <t>13726324136</t>
  </si>
  <si>
    <t>苏钊永</t>
  </si>
  <si>
    <t>JG003003</t>
  </si>
  <si>
    <t>苏志胜</t>
  </si>
  <si>
    <t>JG002787</t>
  </si>
  <si>
    <t>15916148819</t>
  </si>
  <si>
    <t>苏柱文</t>
  </si>
  <si>
    <t>JG000041</t>
  </si>
  <si>
    <t>A班生产班长</t>
  </si>
  <si>
    <t>13686542212</t>
  </si>
  <si>
    <t>孙宇航</t>
  </si>
  <si>
    <t>JG001710</t>
  </si>
  <si>
    <t>2024-04-10</t>
  </si>
  <si>
    <t>16786274659</t>
  </si>
  <si>
    <t>JG002025</t>
  </si>
  <si>
    <t>15120105096</t>
  </si>
  <si>
    <t>JG001830</t>
  </si>
  <si>
    <t>2024-06-24</t>
  </si>
  <si>
    <t>15818075502</t>
  </si>
  <si>
    <t>覃程月</t>
  </si>
  <si>
    <t>JG001488</t>
  </si>
  <si>
    <t>15296392701</t>
  </si>
  <si>
    <t>覃家海</t>
  </si>
  <si>
    <t>JG003111</t>
  </si>
  <si>
    <t>JG001762</t>
  </si>
  <si>
    <t>15986125572</t>
  </si>
  <si>
    <t>覃矩</t>
  </si>
  <si>
    <t>JG002792</t>
  </si>
  <si>
    <t>2025-07-14</t>
  </si>
  <si>
    <t>18978276449</t>
  </si>
  <si>
    <t>覃林丽</t>
  </si>
  <si>
    <t>JG002663</t>
  </si>
  <si>
    <t>15078483874</t>
  </si>
  <si>
    <t>覃森</t>
  </si>
  <si>
    <t>JG002883</t>
  </si>
  <si>
    <t>覃思松</t>
  </si>
  <si>
    <t>JG002907</t>
  </si>
  <si>
    <t>覃先军</t>
  </si>
  <si>
    <t>JG001358</t>
  </si>
  <si>
    <t>13877836852</t>
  </si>
  <si>
    <t>谭达康</t>
  </si>
  <si>
    <t>JG001240</t>
  </si>
  <si>
    <t>2021-05-25</t>
  </si>
  <si>
    <t>15986188886</t>
  </si>
  <si>
    <t>谭冬仪</t>
  </si>
  <si>
    <t>JG000853</t>
  </si>
  <si>
    <t>13420769243</t>
  </si>
  <si>
    <t>JG003069</t>
  </si>
  <si>
    <t>2026-03-23</t>
  </si>
  <si>
    <t>谭勤开</t>
  </si>
  <si>
    <t>JG001231</t>
  </si>
  <si>
    <t>2020-06-22</t>
  </si>
  <si>
    <t>13724622461</t>
  </si>
  <si>
    <t>谭伟娟</t>
  </si>
  <si>
    <t>JG002654</t>
  </si>
  <si>
    <t>13620121467</t>
  </si>
  <si>
    <t>谭文强</t>
  </si>
  <si>
    <t>JG000769</t>
  </si>
  <si>
    <t>2022-03-02</t>
  </si>
  <si>
    <t>13202351510</t>
  </si>
  <si>
    <t>JG002742</t>
  </si>
  <si>
    <t>18312126161</t>
  </si>
  <si>
    <t>谭勇军</t>
  </si>
  <si>
    <t>JG003031</t>
  </si>
  <si>
    <t>谭玉平</t>
  </si>
  <si>
    <t>JG000780</t>
  </si>
  <si>
    <t>2022-03-03</t>
  </si>
  <si>
    <t>15015544528</t>
  </si>
  <si>
    <t>谭玉清</t>
  </si>
  <si>
    <t>JG000220</t>
  </si>
  <si>
    <t>2021-03-02</t>
  </si>
  <si>
    <t>13066494585</t>
  </si>
  <si>
    <t>JG000205</t>
  </si>
  <si>
    <t>2020-12-23</t>
  </si>
  <si>
    <t>18676597696</t>
  </si>
  <si>
    <t>谭志同</t>
  </si>
  <si>
    <t>JG001502</t>
  </si>
  <si>
    <t>2019-01-09</t>
  </si>
  <si>
    <t>13612615447</t>
  </si>
  <si>
    <t>JG002830</t>
  </si>
  <si>
    <t>2025-08-25</t>
  </si>
  <si>
    <t>汤云丰</t>
  </si>
  <si>
    <t>JG002876</t>
  </si>
  <si>
    <t>2025-09-25</t>
  </si>
  <si>
    <t>JG003216</t>
  </si>
  <si>
    <t>唐建春</t>
  </si>
  <si>
    <t>JG002735</t>
  </si>
  <si>
    <t>18823295652</t>
  </si>
  <si>
    <t>唐杰</t>
  </si>
  <si>
    <t>JG002197</t>
  </si>
  <si>
    <t>13534342241</t>
  </si>
  <si>
    <t>JG001927</t>
  </si>
  <si>
    <t>JG000180</t>
  </si>
  <si>
    <t>2020-06-28</t>
  </si>
  <si>
    <t>15363130037</t>
  </si>
  <si>
    <t>陶四知</t>
  </si>
  <si>
    <t>JG002779</t>
  </si>
  <si>
    <t>JG002986</t>
  </si>
  <si>
    <t>2025-12-11</t>
  </si>
  <si>
    <t>JG003206</t>
  </si>
  <si>
    <t>田景洋</t>
  </si>
  <si>
    <t>JG003214</t>
  </si>
  <si>
    <t>田丽权</t>
  </si>
  <si>
    <t>JG000027</t>
  </si>
  <si>
    <t>副总经理</t>
  </si>
  <si>
    <t>13925950161</t>
  </si>
  <si>
    <t>田林</t>
  </si>
  <si>
    <t>JG002713</t>
  </si>
  <si>
    <t>13433126902</t>
  </si>
  <si>
    <t>田龙飞</t>
  </si>
  <si>
    <t>JG002924</t>
  </si>
  <si>
    <t>2025-10-18</t>
  </si>
  <si>
    <t>田维花</t>
  </si>
  <si>
    <t>JG002060</t>
  </si>
  <si>
    <t>2025-01-04</t>
  </si>
  <si>
    <t>19984569807</t>
  </si>
  <si>
    <t>田兴军</t>
  </si>
  <si>
    <t>JG002348</t>
  </si>
  <si>
    <t>13310761373</t>
  </si>
  <si>
    <t>田应生</t>
  </si>
  <si>
    <t>JG000855</t>
  </si>
  <si>
    <t>2022-03-23</t>
  </si>
  <si>
    <t>13116485745</t>
  </si>
  <si>
    <t>JG003001</t>
  </si>
  <si>
    <t>2026-01-05</t>
  </si>
  <si>
    <t>万光鑫</t>
  </si>
  <si>
    <t>JG002604</t>
  </si>
  <si>
    <t>2025-03-13</t>
  </si>
  <si>
    <t>18475717196</t>
  </si>
  <si>
    <t>JG003133</t>
  </si>
  <si>
    <t>2026-04-27</t>
  </si>
  <si>
    <t>JG002075</t>
  </si>
  <si>
    <t>19350369449</t>
  </si>
  <si>
    <t>王大秀</t>
  </si>
  <si>
    <t>JG000974</t>
  </si>
  <si>
    <t>2022-06-13</t>
  </si>
  <si>
    <t>13535874081</t>
  </si>
  <si>
    <t>王登荣</t>
  </si>
  <si>
    <t>JG000936</t>
  </si>
  <si>
    <t>13343549893</t>
  </si>
  <si>
    <t>王登秀</t>
  </si>
  <si>
    <t>JG000746</t>
  </si>
  <si>
    <t>2022-02-22</t>
  </si>
  <si>
    <t>15183414550</t>
  </si>
  <si>
    <t>JG002158</t>
  </si>
  <si>
    <t>19874142234</t>
  </si>
  <si>
    <t>JG000879</t>
  </si>
  <si>
    <t>18933702283</t>
  </si>
  <si>
    <t>JG002750</t>
  </si>
  <si>
    <t>2025-06-07</t>
  </si>
  <si>
    <t>19925992289</t>
  </si>
  <si>
    <t>JG001663</t>
  </si>
  <si>
    <t>19178963313</t>
  </si>
  <si>
    <t>JG001681</t>
  </si>
  <si>
    <t>生产助班</t>
  </si>
  <si>
    <t>15113087779</t>
  </si>
  <si>
    <t>王仁霞</t>
  </si>
  <si>
    <t>JG002349</t>
  </si>
  <si>
    <t>13310761375</t>
  </si>
  <si>
    <t>王蓉</t>
  </si>
  <si>
    <t>JG002690</t>
  </si>
  <si>
    <t>13823784186</t>
  </si>
  <si>
    <t>JG002317</t>
  </si>
  <si>
    <t>15112995060</t>
  </si>
  <si>
    <t>JG000741</t>
  </si>
  <si>
    <t>2022-02-23</t>
  </si>
  <si>
    <t>13680361358</t>
  </si>
  <si>
    <t>JG002726</t>
  </si>
  <si>
    <t>15887136322</t>
  </si>
  <si>
    <t>王怡敏</t>
  </si>
  <si>
    <t>JG001013</t>
  </si>
  <si>
    <t>2022-08-01</t>
  </si>
  <si>
    <t>18566092486</t>
  </si>
  <si>
    <t>王毅</t>
  </si>
  <si>
    <t>JG002747</t>
  </si>
  <si>
    <t>13026634491</t>
  </si>
  <si>
    <t>王宇旋</t>
  </si>
  <si>
    <t>JG003002</t>
  </si>
  <si>
    <t>研发部副经理</t>
  </si>
  <si>
    <t>2026-02-02</t>
  </si>
  <si>
    <t>JG000236</t>
  </si>
  <si>
    <t>2021-03-26</t>
  </si>
  <si>
    <t>14736679609</t>
  </si>
  <si>
    <t>JG002130</t>
  </si>
  <si>
    <t>2024-10-24</t>
  </si>
  <si>
    <t>13172355568</t>
  </si>
  <si>
    <t>JG000182</t>
  </si>
  <si>
    <t>15118710083</t>
  </si>
  <si>
    <t>王珍</t>
  </si>
  <si>
    <t>JG000196</t>
  </si>
  <si>
    <t>2020-09-11</t>
  </si>
  <si>
    <t>13702652603</t>
  </si>
  <si>
    <t>JG002139</t>
  </si>
  <si>
    <t>13823472261</t>
  </si>
  <si>
    <t>韦才仟</t>
  </si>
  <si>
    <t>JG000203</t>
  </si>
  <si>
    <t>2020-12-03</t>
  </si>
  <si>
    <t>13630745242</t>
  </si>
  <si>
    <t>JG000154</t>
  </si>
  <si>
    <t>15278029577</t>
  </si>
  <si>
    <t>韦芳</t>
  </si>
  <si>
    <t>JG002922</t>
  </si>
  <si>
    <t>2025-10-17</t>
  </si>
  <si>
    <t>JG001478</t>
  </si>
  <si>
    <t>13788310315</t>
  </si>
  <si>
    <t>韦冠作</t>
  </si>
  <si>
    <t>JG002707</t>
  </si>
  <si>
    <t>2025-05-05</t>
  </si>
  <si>
    <t>韦海艳</t>
  </si>
  <si>
    <t>JG001243</t>
  </si>
  <si>
    <t>2022-10-27</t>
  </si>
  <si>
    <t>15220997871</t>
  </si>
  <si>
    <t>JG003013</t>
  </si>
  <si>
    <t>韦克卫</t>
  </si>
  <si>
    <t>JG002755</t>
  </si>
  <si>
    <t>2025-06-13</t>
  </si>
  <si>
    <t>19978802588</t>
  </si>
  <si>
    <t>韦立锋</t>
  </si>
  <si>
    <t>JG002662</t>
  </si>
  <si>
    <t>13627822578</t>
  </si>
  <si>
    <t>韦玲柳</t>
  </si>
  <si>
    <t>JG002756</t>
  </si>
  <si>
    <t>13471866340</t>
  </si>
  <si>
    <t>韦媚君</t>
  </si>
  <si>
    <t>JG002962</t>
  </si>
  <si>
    <t>韦其亮</t>
  </si>
  <si>
    <t>JG002660</t>
  </si>
  <si>
    <t>18178865275</t>
  </si>
  <si>
    <t>韦清壮</t>
  </si>
  <si>
    <t>JG002333</t>
  </si>
  <si>
    <t>2025-02-17</t>
  </si>
  <si>
    <t>15085406768</t>
  </si>
  <si>
    <t>韦庆龙</t>
  </si>
  <si>
    <t>JG002627</t>
  </si>
  <si>
    <t>2025-03-28</t>
  </si>
  <si>
    <t>13018724115</t>
  </si>
  <si>
    <t>JG000214</t>
  </si>
  <si>
    <t>2021-02-25</t>
  </si>
  <si>
    <t>15217395795</t>
  </si>
  <si>
    <t>JG003155</t>
  </si>
  <si>
    <t>JG000157</t>
  </si>
  <si>
    <t>13652712804</t>
  </si>
  <si>
    <t>韦小明</t>
  </si>
  <si>
    <t>JG000022</t>
  </si>
  <si>
    <t>2015-01-05</t>
  </si>
  <si>
    <t>15916169417</t>
  </si>
  <si>
    <t>韦永康</t>
  </si>
  <si>
    <t>JG001371</t>
  </si>
  <si>
    <t>18278602188</t>
  </si>
  <si>
    <t>韦与双</t>
  </si>
  <si>
    <t>JG002311</t>
  </si>
  <si>
    <t>18867083378</t>
  </si>
  <si>
    <t>JG001785</t>
  </si>
  <si>
    <t>2024-05-27</t>
  </si>
  <si>
    <t>13143194586</t>
  </si>
  <si>
    <t>JG002178</t>
  </si>
  <si>
    <t>15994307575</t>
  </si>
  <si>
    <t>JG002482</t>
  </si>
  <si>
    <t>2025-09-05</t>
  </si>
  <si>
    <t>JG003072</t>
  </si>
  <si>
    <t>JG000087</t>
  </si>
  <si>
    <t>2017-08-01</t>
  </si>
  <si>
    <t>13679824846</t>
  </si>
  <si>
    <t>文润成</t>
  </si>
  <si>
    <t>JG000070</t>
  </si>
  <si>
    <t>15915739630</t>
  </si>
  <si>
    <t>JG000139</t>
  </si>
  <si>
    <t>18594002764</t>
  </si>
  <si>
    <t>JG000029</t>
  </si>
  <si>
    <t>2014-03-01</t>
  </si>
  <si>
    <t>18665688875</t>
  </si>
  <si>
    <t>JG002853</t>
  </si>
  <si>
    <t>2025-09-09</t>
  </si>
  <si>
    <t>吴楚云</t>
  </si>
  <si>
    <t>JG002689</t>
  </si>
  <si>
    <t>13085818621</t>
  </si>
  <si>
    <t>JG000987</t>
  </si>
  <si>
    <t>13122927025</t>
  </si>
  <si>
    <t>JG002132</t>
  </si>
  <si>
    <t>18569754061</t>
  </si>
  <si>
    <t>JG002189</t>
  </si>
  <si>
    <t>16225127782</t>
  </si>
  <si>
    <t>吴火保</t>
  </si>
  <si>
    <t>JG001849</t>
  </si>
  <si>
    <t>JG000983</t>
  </si>
  <si>
    <t>2022-06-27</t>
  </si>
  <si>
    <t>13414856833</t>
  </si>
  <si>
    <t>吴家龙</t>
  </si>
  <si>
    <t>JG001507</t>
  </si>
  <si>
    <t>外贸专员</t>
  </si>
  <si>
    <t>2023-05-08</t>
  </si>
  <si>
    <t>15813408137</t>
  </si>
  <si>
    <t>JG002960</t>
  </si>
  <si>
    <t>吴练</t>
  </si>
  <si>
    <t>JG000227</t>
  </si>
  <si>
    <t>2021-03-08</t>
  </si>
  <si>
    <t>13929110650</t>
  </si>
  <si>
    <t>JG003172</t>
  </si>
  <si>
    <t>2026-05-13</t>
  </si>
  <si>
    <t>JG000489</t>
  </si>
  <si>
    <t>2021-11-15</t>
  </si>
  <si>
    <t>15875163413</t>
  </si>
  <si>
    <t>JG001909</t>
  </si>
  <si>
    <t>2024-08-17</t>
  </si>
  <si>
    <t>吴文娟</t>
  </si>
  <si>
    <t>JG000011</t>
  </si>
  <si>
    <t>研发副主管</t>
  </si>
  <si>
    <t>13794086155</t>
  </si>
  <si>
    <t>吴尧坤</t>
  </si>
  <si>
    <t>JG000086</t>
  </si>
  <si>
    <t>2017-07-31</t>
  </si>
  <si>
    <t>18825173201</t>
  </si>
  <si>
    <t>JG003186</t>
  </si>
  <si>
    <t>JG003185</t>
  </si>
  <si>
    <t>JG001691</t>
  </si>
  <si>
    <t>13286493325</t>
  </si>
  <si>
    <t>伍春梅</t>
  </si>
  <si>
    <t>JG001823</t>
  </si>
  <si>
    <t>2024-06-19</t>
  </si>
  <si>
    <t>13925429818</t>
  </si>
  <si>
    <t>伍文德</t>
  </si>
  <si>
    <t>JG001799</t>
  </si>
  <si>
    <t>B班普工</t>
  </si>
  <si>
    <t>2024-06-04</t>
  </si>
  <si>
    <t>13420800306</t>
  </si>
  <si>
    <t>JG000270</t>
  </si>
  <si>
    <t>2021-06-17</t>
  </si>
  <si>
    <t>17621961232</t>
  </si>
  <si>
    <t>夏结仪</t>
  </si>
  <si>
    <t>15899575247</t>
  </si>
  <si>
    <t>JG000225</t>
  </si>
  <si>
    <t>2021-03-06</t>
  </si>
  <si>
    <t>13737454370</t>
  </si>
  <si>
    <t>冼宝源</t>
  </si>
  <si>
    <t>JG000028</t>
  </si>
  <si>
    <t>2014-03-05</t>
  </si>
  <si>
    <t>13450827145</t>
  </si>
  <si>
    <t>冼凤明</t>
  </si>
  <si>
    <t>JG000129</t>
  </si>
  <si>
    <t>2019-06-27</t>
  </si>
  <si>
    <t>13679889455</t>
  </si>
  <si>
    <t>冼根源</t>
  </si>
  <si>
    <t>JG003094</t>
  </si>
  <si>
    <t>冼锦源</t>
  </si>
  <si>
    <t>JG000037</t>
  </si>
  <si>
    <t>2014-10-16</t>
  </si>
  <si>
    <t>15817814561</t>
  </si>
  <si>
    <t>冼明杰</t>
  </si>
  <si>
    <t>JG002732</t>
  </si>
  <si>
    <t>13172338372</t>
  </si>
  <si>
    <t>JG002770</t>
  </si>
  <si>
    <t>18038689350</t>
  </si>
  <si>
    <t>向波</t>
  </si>
  <si>
    <t>JG002342</t>
  </si>
  <si>
    <t>2025-02-16</t>
  </si>
  <si>
    <t>13539508796</t>
  </si>
  <si>
    <t>向建川</t>
  </si>
  <si>
    <t>JG000906</t>
  </si>
  <si>
    <t>2022-04-28</t>
  </si>
  <si>
    <t>15989984872</t>
  </si>
  <si>
    <t>JG002575</t>
  </si>
  <si>
    <t>18897473151</t>
  </si>
  <si>
    <t>向显成</t>
  </si>
  <si>
    <t>JG001398</t>
  </si>
  <si>
    <t>D班生产班长</t>
  </si>
  <si>
    <t>2023-02-07</t>
  </si>
  <si>
    <t>17623258814</t>
  </si>
  <si>
    <t>JG002682</t>
  </si>
  <si>
    <t>18821959073</t>
  </si>
  <si>
    <t>JG000199</t>
  </si>
  <si>
    <t>17673108537</t>
  </si>
  <si>
    <t>JG000115</t>
  </si>
  <si>
    <t>15273339218</t>
  </si>
  <si>
    <t>JG000809</t>
  </si>
  <si>
    <t>2022-03-10</t>
  </si>
  <si>
    <t>15758818127</t>
  </si>
  <si>
    <t>向泽和</t>
  </si>
  <si>
    <t>JG002303</t>
  </si>
  <si>
    <t>13487403976</t>
  </si>
  <si>
    <t>肖春红</t>
  </si>
  <si>
    <t>JG003050</t>
  </si>
  <si>
    <t>JG000738</t>
  </si>
  <si>
    <t>2022-02-21</t>
  </si>
  <si>
    <t>13551966731</t>
  </si>
  <si>
    <t>肖鸿颖</t>
  </si>
  <si>
    <t>JG002841</t>
  </si>
  <si>
    <t>JG001436</t>
  </si>
  <si>
    <t>13434519350</t>
  </si>
  <si>
    <t>肖龙海</t>
  </si>
  <si>
    <t>JG000751</t>
  </si>
  <si>
    <t>2022-02-24</t>
  </si>
  <si>
    <t>13620337376</t>
  </si>
  <si>
    <t>肖强</t>
  </si>
  <si>
    <t>JG001809</t>
  </si>
  <si>
    <t>2024-06-11</t>
  </si>
  <si>
    <t>17769289575</t>
  </si>
  <si>
    <t>肖羲</t>
  </si>
  <si>
    <t>JG001046</t>
  </si>
  <si>
    <t>13728532113</t>
  </si>
  <si>
    <t>JG000718</t>
  </si>
  <si>
    <t>2022-02-18</t>
  </si>
  <si>
    <t>13723861771</t>
  </si>
  <si>
    <t>JG001665</t>
  </si>
  <si>
    <t>2024-02-22</t>
  </si>
  <si>
    <t>19375058565</t>
  </si>
  <si>
    <t>肖友生</t>
  </si>
  <si>
    <t>JG002612</t>
  </si>
  <si>
    <t>17375913019</t>
  </si>
  <si>
    <t>JG000439</t>
  </si>
  <si>
    <t>18825827749</t>
  </si>
  <si>
    <t>肖毓俊</t>
  </si>
  <si>
    <t>JG000095</t>
  </si>
  <si>
    <t>13827782753</t>
  </si>
  <si>
    <t>JG001496</t>
  </si>
  <si>
    <t>行政安全主管</t>
  </si>
  <si>
    <t>15017768983</t>
  </si>
  <si>
    <t>谢奎华</t>
  </si>
  <si>
    <t>JG001547</t>
  </si>
  <si>
    <t>2017-03-20</t>
  </si>
  <si>
    <t>18665543582</t>
  </si>
  <si>
    <t>JG001654</t>
  </si>
  <si>
    <t>2024-02-20</t>
  </si>
  <si>
    <t>15363282925</t>
  </si>
  <si>
    <t>谢玲霞</t>
  </si>
  <si>
    <t>JG000753</t>
  </si>
  <si>
    <t>13487991496</t>
  </si>
  <si>
    <t>JG002746</t>
  </si>
  <si>
    <t>13925978347</t>
  </si>
  <si>
    <t>谢文龙</t>
  </si>
  <si>
    <t>JG001574</t>
  </si>
  <si>
    <t>2023-08-23</t>
  </si>
  <si>
    <t>19178963823</t>
  </si>
  <si>
    <t>谢月彩</t>
  </si>
  <si>
    <t>JG002878</t>
  </si>
  <si>
    <t>JG003243</t>
  </si>
  <si>
    <t>胥明</t>
  </si>
  <si>
    <t>JG000507</t>
  </si>
  <si>
    <t>2022-02-12</t>
  </si>
  <si>
    <t>13077496243</t>
  </si>
  <si>
    <t>徐东坡</t>
  </si>
  <si>
    <t>JG002347</t>
  </si>
  <si>
    <t>13523745330</t>
  </si>
  <si>
    <t>JG000840</t>
  </si>
  <si>
    <t>13202925029</t>
  </si>
  <si>
    <t>徐洪平</t>
  </si>
  <si>
    <t>JG003005</t>
  </si>
  <si>
    <t>JG000222</t>
  </si>
  <si>
    <t>13727233059</t>
  </si>
  <si>
    <t>徐家庆</t>
  </si>
  <si>
    <t>JG002107</t>
  </si>
  <si>
    <t>13288265324</t>
  </si>
  <si>
    <t>徐健</t>
  </si>
  <si>
    <t>JG000151</t>
  </si>
  <si>
    <t>2020-03-02</t>
  </si>
  <si>
    <t>13537748112</t>
  </si>
  <si>
    <t>徐谏芬</t>
  </si>
  <si>
    <t>JG000449</t>
  </si>
  <si>
    <t>2021-10-18</t>
  </si>
  <si>
    <t>15017648116</t>
  </si>
  <si>
    <t>JG000631</t>
  </si>
  <si>
    <t>2022-04-01</t>
  </si>
  <si>
    <t>14718575536</t>
  </si>
  <si>
    <t>JG001739</t>
  </si>
  <si>
    <t>19197941089</t>
  </si>
  <si>
    <t>JG001467</t>
  </si>
  <si>
    <t>B班开机员</t>
  </si>
  <si>
    <t>2023-02-21</t>
  </si>
  <si>
    <t>18278601625</t>
  </si>
  <si>
    <t>许鹏</t>
  </si>
  <si>
    <t>JG001950</t>
  </si>
  <si>
    <t>2026-05-22</t>
  </si>
  <si>
    <t>许青</t>
  </si>
  <si>
    <t>JG003056</t>
  </si>
  <si>
    <t>许贤招</t>
  </si>
  <si>
    <t>JG003175</t>
  </si>
  <si>
    <t>许远文</t>
  </si>
  <si>
    <t>JG001238</t>
  </si>
  <si>
    <t>17776716100</t>
  </si>
  <si>
    <t>禤俊昌</t>
  </si>
  <si>
    <t>JG002176</t>
  </si>
  <si>
    <t>2024-12-09</t>
  </si>
  <si>
    <t>18277780335</t>
  </si>
  <si>
    <t>禤品灵</t>
  </si>
  <si>
    <t>JG002637</t>
  </si>
  <si>
    <t>17819669702</t>
  </si>
  <si>
    <t>薛妮娜</t>
  </si>
  <si>
    <t>JG000054</t>
  </si>
  <si>
    <t>2015-07-01</t>
  </si>
  <si>
    <t>15915244527</t>
  </si>
  <si>
    <t>严正广</t>
  </si>
  <si>
    <t>JG002794</t>
  </si>
  <si>
    <t>2025-07-16</t>
  </si>
  <si>
    <t>18665406991</t>
  </si>
  <si>
    <t>颜加辉</t>
  </si>
  <si>
    <t>JG000201</t>
  </si>
  <si>
    <t>2020-11-04</t>
  </si>
  <si>
    <t>17304087338</t>
  </si>
  <si>
    <t>晏光军</t>
  </si>
  <si>
    <t>JG001787</t>
  </si>
  <si>
    <t>2024-05-31</t>
  </si>
  <si>
    <t>18285311521</t>
  </si>
  <si>
    <t>阳进霞</t>
  </si>
  <si>
    <t>JG000150</t>
  </si>
  <si>
    <t>2020-02-26</t>
  </si>
  <si>
    <t>15363063489</t>
  </si>
  <si>
    <t>杨波</t>
  </si>
  <si>
    <t>JG002326</t>
  </si>
  <si>
    <t>18578410883</t>
  </si>
  <si>
    <t>杨春蓉</t>
  </si>
  <si>
    <t>JG000275</t>
  </si>
  <si>
    <t>2021-06-28</t>
  </si>
  <si>
    <t>17688218879</t>
  </si>
  <si>
    <t>杨翠华</t>
  </si>
  <si>
    <t>VK000002</t>
  </si>
  <si>
    <t>煮饭工</t>
  </si>
  <si>
    <t>2008-03-31</t>
  </si>
  <si>
    <t>13927740432</t>
  </si>
  <si>
    <t>杨富红</t>
  </si>
  <si>
    <t>JG002803</t>
  </si>
  <si>
    <t>2025-07-31</t>
  </si>
  <si>
    <t>杨贵仙</t>
  </si>
  <si>
    <t>JG000202</t>
  </si>
  <si>
    <t>2025-12-05</t>
  </si>
  <si>
    <t>18896392054</t>
  </si>
  <si>
    <t>杨国桢</t>
  </si>
  <si>
    <t>JG000002</t>
  </si>
  <si>
    <t>13600306395</t>
  </si>
  <si>
    <t>JG003077</t>
  </si>
  <si>
    <t>2026-03-26</t>
  </si>
  <si>
    <t>JG003163</t>
  </si>
  <si>
    <t>杨红彬</t>
  </si>
  <si>
    <t>JG002982</t>
  </si>
  <si>
    <t>杨佳</t>
  </si>
  <si>
    <t>JG003076</t>
  </si>
  <si>
    <t>JG000062</t>
  </si>
  <si>
    <t>14718093165</t>
  </si>
  <si>
    <t>JG000938</t>
  </si>
  <si>
    <t>2022-05-11</t>
  </si>
  <si>
    <t>18786894347</t>
  </si>
  <si>
    <t>杨锦武</t>
  </si>
  <si>
    <t>JG000535</t>
  </si>
  <si>
    <t>2021-12-22</t>
  </si>
  <si>
    <t>18777395736</t>
  </si>
  <si>
    <t>杨林清</t>
  </si>
  <si>
    <t>JG002045</t>
  </si>
  <si>
    <t>19876790857</t>
  </si>
  <si>
    <t>杨平</t>
  </si>
  <si>
    <t>JG000782</t>
  </si>
  <si>
    <t>15118688568</t>
  </si>
  <si>
    <t>JG000886</t>
  </si>
  <si>
    <t>2022-04-20</t>
  </si>
  <si>
    <t>15919081568</t>
  </si>
  <si>
    <t>JG001360</t>
  </si>
  <si>
    <t>18185663964</t>
  </si>
  <si>
    <t>杨稳</t>
  </si>
  <si>
    <t>JG002595</t>
  </si>
  <si>
    <t>15622827949</t>
  </si>
  <si>
    <t>杨伍</t>
  </si>
  <si>
    <t>JG002733</t>
  </si>
  <si>
    <t>19025959243</t>
  </si>
  <si>
    <t>杨秀欣</t>
  </si>
  <si>
    <t>JG000335</t>
  </si>
  <si>
    <t>13715458048</t>
  </si>
  <si>
    <t>JG000917</t>
  </si>
  <si>
    <t>2022-05-04</t>
  </si>
  <si>
    <t>18024913672</t>
  </si>
  <si>
    <t>杨勇</t>
  </si>
  <si>
    <t>JG002098</t>
  </si>
  <si>
    <t>2024-10-17</t>
  </si>
  <si>
    <t>18042855824</t>
  </si>
  <si>
    <t>杨勇太</t>
  </si>
  <si>
    <t>JG002613</t>
  </si>
  <si>
    <t>2025-03-19</t>
  </si>
  <si>
    <t>13728568875</t>
  </si>
  <si>
    <t>杨长红</t>
  </si>
  <si>
    <t>JG003024</t>
  </si>
  <si>
    <t>杨忠保</t>
  </si>
  <si>
    <t>JG000981</t>
  </si>
  <si>
    <t>2022-06-23</t>
  </si>
  <si>
    <t>18683018323</t>
  </si>
  <si>
    <t>杨宗铭</t>
  </si>
  <si>
    <t>13425680418</t>
  </si>
  <si>
    <t>姚比比</t>
  </si>
  <si>
    <t>JG002831</t>
  </si>
  <si>
    <t>姚春香</t>
  </si>
  <si>
    <t>JG002946</t>
  </si>
  <si>
    <t>2025-10-29</t>
  </si>
  <si>
    <t>姚欢袁</t>
  </si>
  <si>
    <t>JG000217</t>
  </si>
  <si>
    <t>2021-02-26</t>
  </si>
  <si>
    <t>13119859386</t>
  </si>
  <si>
    <t>姚坤</t>
  </si>
  <si>
    <t>JG002866</t>
  </si>
  <si>
    <t>JG003120</t>
  </si>
  <si>
    <t>叶国权</t>
  </si>
  <si>
    <t>JG000023</t>
  </si>
  <si>
    <t>13902807785</t>
  </si>
  <si>
    <t>叶焕岛</t>
  </si>
  <si>
    <t>JG003145</t>
  </si>
  <si>
    <t>叶焕淖</t>
  </si>
  <si>
    <t>JG003143</t>
  </si>
  <si>
    <t>JG000159</t>
  </si>
  <si>
    <t>K班班长</t>
  </si>
  <si>
    <t>13420825327</t>
  </si>
  <si>
    <t>叶锦聪</t>
  </si>
  <si>
    <t>JG003014</t>
  </si>
  <si>
    <t>JG000186</t>
  </si>
  <si>
    <t>2020-07-07</t>
  </si>
  <si>
    <t>13077425557</t>
  </si>
  <si>
    <t>JG001841</t>
  </si>
  <si>
    <t>叶芷君</t>
  </si>
  <si>
    <t>JG000090</t>
  </si>
  <si>
    <t>2017-09-18</t>
  </si>
  <si>
    <t>13536675447</t>
  </si>
  <si>
    <t>叶至炜</t>
  </si>
  <si>
    <t>JG003144</t>
  </si>
  <si>
    <t>易上娇</t>
  </si>
  <si>
    <t>JG000018</t>
  </si>
  <si>
    <t>13531415409</t>
  </si>
  <si>
    <t>殷加俊</t>
  </si>
  <si>
    <t>JG002737</t>
  </si>
  <si>
    <t>13049160656</t>
  </si>
  <si>
    <t>于尚民</t>
  </si>
  <si>
    <t>JG003006</t>
  </si>
  <si>
    <t>余光达</t>
  </si>
  <si>
    <t>JG001760</t>
  </si>
  <si>
    <t>13435189884</t>
  </si>
  <si>
    <t>JG001528</t>
  </si>
  <si>
    <t>2023-07-11</t>
  </si>
  <si>
    <t>18264255379</t>
  </si>
  <si>
    <t>余小林</t>
  </si>
  <si>
    <t>JG003154</t>
  </si>
  <si>
    <t>喻红艳</t>
  </si>
  <si>
    <t>JG002825</t>
  </si>
  <si>
    <t>2025-08-19</t>
  </si>
  <si>
    <t>员工</t>
  </si>
  <si>
    <t>2022-11-01</t>
  </si>
  <si>
    <t>JG000178</t>
  </si>
  <si>
    <t>2020-06-23</t>
  </si>
  <si>
    <t>15277366102</t>
  </si>
  <si>
    <t>JG000187</t>
  </si>
  <si>
    <t>2020-07-13</t>
  </si>
  <si>
    <t>13308348533</t>
  </si>
  <si>
    <t>JG000134</t>
  </si>
  <si>
    <t>2019-08-13</t>
  </si>
  <si>
    <t>16676671630</t>
  </si>
  <si>
    <t>JG001826</t>
  </si>
  <si>
    <t>2024-06-20</t>
  </si>
  <si>
    <t>19151829752</t>
  </si>
  <si>
    <t>袁晓京</t>
  </si>
  <si>
    <t>JG002988</t>
  </si>
  <si>
    <t>2025-12-10</t>
  </si>
  <si>
    <t>JG002147</t>
  </si>
  <si>
    <t>2024-11-14</t>
  </si>
  <si>
    <t>18708761629</t>
  </si>
  <si>
    <t>JG000116</t>
  </si>
  <si>
    <t>2019-02-25</t>
  </si>
  <si>
    <t>18825951653</t>
  </si>
  <si>
    <t>张春连</t>
  </si>
  <si>
    <t>JG001242</t>
  </si>
  <si>
    <t>13690706039</t>
  </si>
  <si>
    <t>张芳</t>
  </si>
  <si>
    <t>13695298197</t>
  </si>
  <si>
    <t>张福云</t>
  </si>
  <si>
    <t>JG002196</t>
  </si>
  <si>
    <t>15889209629</t>
  </si>
  <si>
    <t>张桂锋</t>
  </si>
  <si>
    <t>JG002720</t>
  </si>
  <si>
    <t>18200924717</t>
  </si>
  <si>
    <t>张坚</t>
  </si>
  <si>
    <t>JD002992</t>
  </si>
  <si>
    <t>2025-12-23</t>
  </si>
  <si>
    <t>张洁英</t>
  </si>
  <si>
    <t>JG003060</t>
  </si>
  <si>
    <t>2026-03-19</t>
  </si>
  <si>
    <t>张金文</t>
  </si>
  <si>
    <t>JG003032</t>
  </si>
  <si>
    <t>2026-03-04</t>
  </si>
  <si>
    <t>张劲</t>
  </si>
  <si>
    <t>JG002153</t>
  </si>
  <si>
    <t>17677377737</t>
  </si>
  <si>
    <t>张晋明</t>
  </si>
  <si>
    <t>JG001548</t>
  </si>
  <si>
    <t>2018-05-07</t>
  </si>
  <si>
    <t>18125791204</t>
  </si>
  <si>
    <t>张琳</t>
  </si>
  <si>
    <t>JG001373</t>
  </si>
  <si>
    <t>13802686394</t>
  </si>
  <si>
    <t>JG001232</t>
  </si>
  <si>
    <t>品质副主管</t>
  </si>
  <si>
    <t>13202377966</t>
  </si>
  <si>
    <t>张枚艳</t>
  </si>
  <si>
    <t>JG002793</t>
  </si>
  <si>
    <t>2025-07-15</t>
  </si>
  <si>
    <t>19374593832</t>
  </si>
  <si>
    <t>JG001814</t>
  </si>
  <si>
    <t>2024-06-12</t>
  </si>
  <si>
    <t>17875700284</t>
  </si>
  <si>
    <t>JG000094</t>
  </si>
  <si>
    <t>18711133790</t>
  </si>
  <si>
    <t>张鹏</t>
  </si>
  <si>
    <t>JG000880</t>
  </si>
  <si>
    <t>2022-04-13</t>
  </si>
  <si>
    <t>13712105262</t>
  </si>
  <si>
    <t>JG000545</t>
  </si>
  <si>
    <t>2022-01-03</t>
  </si>
  <si>
    <t>13925470365</t>
  </si>
  <si>
    <t>张琼欣</t>
  </si>
  <si>
    <t>JG002567</t>
  </si>
  <si>
    <t>2025-02-20</t>
  </si>
  <si>
    <t>15099850638</t>
  </si>
  <si>
    <t>张少金</t>
  </si>
  <si>
    <t>JG000145</t>
  </si>
  <si>
    <t>2019-12-02</t>
  </si>
  <si>
    <t>13794022632</t>
  </si>
  <si>
    <t>JG001573</t>
  </si>
  <si>
    <t>16607780885</t>
  </si>
  <si>
    <t>张文龙</t>
  </si>
  <si>
    <t>JG002790</t>
  </si>
  <si>
    <t>2025-07-09</t>
  </si>
  <si>
    <t>18176114121</t>
  </si>
  <si>
    <t>张艳</t>
  </si>
  <si>
    <t>JG001987</t>
  </si>
  <si>
    <t>张业宏</t>
  </si>
  <si>
    <t>JG002694</t>
  </si>
  <si>
    <t>13726691184</t>
  </si>
  <si>
    <t>张益</t>
  </si>
  <si>
    <t>JG000167</t>
  </si>
  <si>
    <t>2020-05-08</t>
  </si>
  <si>
    <t>13437583501</t>
  </si>
  <si>
    <t>JG001465</t>
  </si>
  <si>
    <t>13435532302</t>
  </si>
  <si>
    <t>张育泉</t>
  </si>
  <si>
    <t>JG001224</t>
  </si>
  <si>
    <t>2022-10-15</t>
  </si>
  <si>
    <t>15017687893</t>
  </si>
  <si>
    <t>张展朋</t>
  </si>
  <si>
    <t>JG001534</t>
  </si>
  <si>
    <t>13250105894</t>
  </si>
  <si>
    <t>JG003170</t>
  </si>
  <si>
    <t>赵德文</t>
  </si>
  <si>
    <t>JG001595</t>
  </si>
  <si>
    <t>2023-09-19</t>
  </si>
  <si>
    <t>17777246831</t>
  </si>
  <si>
    <t>赵海英</t>
  </si>
  <si>
    <t>JG001596</t>
  </si>
  <si>
    <t>18178250680</t>
  </si>
  <si>
    <t>赵浩斌</t>
  </si>
  <si>
    <t>JG002842</t>
  </si>
  <si>
    <t>JG000080</t>
  </si>
  <si>
    <t>2017-04-15</t>
  </si>
  <si>
    <t>15113430029</t>
  </si>
  <si>
    <t>赵石俭</t>
  </si>
  <si>
    <t>JG003039</t>
  </si>
  <si>
    <t>赵伟</t>
  </si>
  <si>
    <t>JG002989</t>
  </si>
  <si>
    <t>JG000224</t>
  </si>
  <si>
    <t>2021-03-04</t>
  </si>
  <si>
    <t>18820878729</t>
  </si>
  <si>
    <t>JG001650</t>
  </si>
  <si>
    <t>2024-02-18</t>
  </si>
  <si>
    <t>15992971952</t>
  </si>
  <si>
    <t>赵永亮</t>
  </si>
  <si>
    <t>JG002808</t>
  </si>
  <si>
    <t>2025-08-04</t>
  </si>
  <si>
    <t>JG002131</t>
  </si>
  <si>
    <t>2024-10-25</t>
  </si>
  <si>
    <t>18178256170</t>
  </si>
  <si>
    <t>赵玉杰</t>
  </si>
  <si>
    <t>JG003092</t>
  </si>
  <si>
    <t>赵玉霞</t>
  </si>
  <si>
    <t>JG003146</t>
  </si>
  <si>
    <t>JG002667</t>
  </si>
  <si>
    <t>15627116852</t>
  </si>
  <si>
    <t>郑飞飞</t>
  </si>
  <si>
    <t>2023-06-15</t>
  </si>
  <si>
    <t>13415781685</t>
  </si>
  <si>
    <t>JG000612</t>
  </si>
  <si>
    <t>13378968562</t>
  </si>
  <si>
    <t>郑浩然</t>
  </si>
  <si>
    <t>JG000484</t>
  </si>
  <si>
    <t>2021-11-12</t>
  </si>
  <si>
    <t>13527019918</t>
  </si>
  <si>
    <t>郑健</t>
  </si>
  <si>
    <t>JG002664</t>
  </si>
  <si>
    <t>18974659642</t>
  </si>
  <si>
    <t>JG000016</t>
  </si>
  <si>
    <t>15302826377</t>
  </si>
  <si>
    <t>JG003081</t>
  </si>
  <si>
    <t>JG002573</t>
  </si>
  <si>
    <t>18812762752</t>
  </si>
  <si>
    <t>郑孟兰</t>
  </si>
  <si>
    <t>JG000739</t>
  </si>
  <si>
    <t>16620169661</t>
  </si>
  <si>
    <t>郑敏</t>
  </si>
  <si>
    <t>JG002665</t>
  </si>
  <si>
    <t>18573667778</t>
  </si>
  <si>
    <t>JG001653</t>
  </si>
  <si>
    <t>2024-02-19</t>
  </si>
  <si>
    <t>18824892727</t>
  </si>
  <si>
    <t>JG001819</t>
  </si>
  <si>
    <t>13570098450</t>
  </si>
  <si>
    <t>郑绍英</t>
  </si>
  <si>
    <t>JG000149</t>
  </si>
  <si>
    <t>2020-02-25</t>
  </si>
  <si>
    <t>15186543846</t>
  </si>
  <si>
    <t>郑维银</t>
  </si>
  <si>
    <t>JG002182</t>
  </si>
  <si>
    <t>2025-02-06</t>
  </si>
  <si>
    <t>13885281723</t>
  </si>
  <si>
    <t>JG002738</t>
  </si>
  <si>
    <t>13500032831</t>
  </si>
  <si>
    <t>郑燕霞</t>
  </si>
  <si>
    <t>JG002687</t>
  </si>
  <si>
    <t>13553341943</t>
  </si>
  <si>
    <t>郑智文</t>
  </si>
  <si>
    <t>JG002671</t>
  </si>
  <si>
    <t>2025-04-14</t>
  </si>
  <si>
    <t>13822594755</t>
  </si>
  <si>
    <t>JG001885</t>
  </si>
  <si>
    <t>2024-07-27</t>
  </si>
  <si>
    <t>JG003007</t>
  </si>
  <si>
    <t>植秀国</t>
  </si>
  <si>
    <t>JG000163</t>
  </si>
  <si>
    <t>2020-04-21</t>
  </si>
  <si>
    <t>15915078623</t>
  </si>
  <si>
    <t>植秀茂</t>
  </si>
  <si>
    <t>JG002183</t>
  </si>
  <si>
    <t>13432433192</t>
  </si>
  <si>
    <t>JG000228</t>
  </si>
  <si>
    <t>17520100837</t>
  </si>
  <si>
    <t>植雪梅</t>
  </si>
  <si>
    <t>JG001546</t>
  </si>
  <si>
    <t>2020-11-01</t>
  </si>
  <si>
    <t>15918689830</t>
  </si>
  <si>
    <t>植育伦</t>
  </si>
  <si>
    <t>JG001753</t>
  </si>
  <si>
    <t>13929827658</t>
  </si>
  <si>
    <t>植忠活</t>
  </si>
  <si>
    <t>JG002180</t>
  </si>
  <si>
    <t>13827537595</t>
  </si>
  <si>
    <t>钟道杰</t>
  </si>
  <si>
    <t>JG002090</t>
  </si>
  <si>
    <t>18033155952</t>
  </si>
  <si>
    <t>钟建业</t>
  </si>
  <si>
    <t>JG002959</t>
  </si>
  <si>
    <t>JG000112</t>
  </si>
  <si>
    <t>2019-02-15</t>
  </si>
  <si>
    <t>18177477734</t>
  </si>
  <si>
    <t>JG001754</t>
  </si>
  <si>
    <t>2024-05-07</t>
  </si>
  <si>
    <t>13266499917</t>
  </si>
  <si>
    <t>周健珊</t>
  </si>
  <si>
    <t>JG002806</t>
  </si>
  <si>
    <t>周杰</t>
  </si>
  <si>
    <t>JG001699</t>
  </si>
  <si>
    <t>2024-02-01</t>
  </si>
  <si>
    <t>13609950000</t>
  </si>
  <si>
    <t>周进来</t>
  </si>
  <si>
    <t>JG002583</t>
  </si>
  <si>
    <t>2025-03-03</t>
  </si>
  <si>
    <t>13535777433</t>
  </si>
  <si>
    <t>JG002556</t>
  </si>
  <si>
    <t>15976490218</t>
  </si>
  <si>
    <t>周丽</t>
  </si>
  <si>
    <t>JG002587</t>
  </si>
  <si>
    <t>15767077799</t>
  </si>
  <si>
    <t>周娜</t>
  </si>
  <si>
    <t>JG001495</t>
  </si>
  <si>
    <t>13794067536</t>
  </si>
  <si>
    <t>周萍</t>
  </si>
  <si>
    <t>JG000005</t>
  </si>
  <si>
    <t>出纳</t>
  </si>
  <si>
    <t>13620842554</t>
  </si>
  <si>
    <t>JG001135</t>
  </si>
  <si>
    <t>17375509275</t>
  </si>
  <si>
    <t>周树坚</t>
  </si>
  <si>
    <t>JG000674</t>
  </si>
  <si>
    <t>13798696437</t>
  </si>
  <si>
    <t>周双潮</t>
  </si>
  <si>
    <t>JG002999</t>
  </si>
  <si>
    <t>周未</t>
  </si>
  <si>
    <t>JG003079</t>
  </si>
  <si>
    <t>周以辉</t>
  </si>
  <si>
    <t>JG003200</t>
  </si>
  <si>
    <t>2026-06-09</t>
  </si>
  <si>
    <t>JG000172</t>
  </si>
  <si>
    <t>2020-06-08</t>
  </si>
  <si>
    <t>18929073804</t>
  </si>
  <si>
    <t>周之豪</t>
  </si>
  <si>
    <t>JG000111</t>
  </si>
  <si>
    <t>2019-01-03</t>
  </si>
  <si>
    <t>15818916418</t>
  </si>
  <si>
    <t>周之健</t>
  </si>
  <si>
    <t>JG000273</t>
  </si>
  <si>
    <t>13602891793</t>
  </si>
  <si>
    <t>周志烽</t>
  </si>
  <si>
    <t>JG002334</t>
  </si>
  <si>
    <t>13129120872</t>
  </si>
  <si>
    <t>周志坚</t>
  </si>
  <si>
    <t>JG002593</t>
  </si>
  <si>
    <t>2025-03-04</t>
  </si>
  <si>
    <t>13590690409</t>
  </si>
  <si>
    <t>JG003167</t>
  </si>
  <si>
    <t>JG000098</t>
  </si>
  <si>
    <t>2018-05-05</t>
  </si>
  <si>
    <t>17666154049</t>
  </si>
  <si>
    <t>朱洪银</t>
  </si>
  <si>
    <t>JG002752</t>
  </si>
  <si>
    <t>18123054002</t>
  </si>
  <si>
    <t>朱铭宇</t>
  </si>
  <si>
    <t>JG002836</t>
  </si>
  <si>
    <t>JG002948</t>
  </si>
  <si>
    <t>2025-11-03</t>
  </si>
  <si>
    <t>JG000179</t>
  </si>
  <si>
    <t>17819185462</t>
  </si>
  <si>
    <t>JG000259</t>
  </si>
  <si>
    <t>2021-06-01</t>
  </si>
  <si>
    <t>18664258712</t>
  </si>
  <si>
    <t>朱展丞</t>
  </si>
  <si>
    <t>JG002590</t>
  </si>
  <si>
    <t>15363088502</t>
  </si>
  <si>
    <t>JG000108</t>
  </si>
  <si>
    <t>2018-07-19</t>
  </si>
  <si>
    <t>15521379223</t>
  </si>
  <si>
    <t>JG000237</t>
  </si>
  <si>
    <t>18388657818</t>
  </si>
  <si>
    <t>JG000995</t>
  </si>
  <si>
    <t>13672204122</t>
  </si>
  <si>
    <t>JG000057</t>
  </si>
  <si>
    <t>2017-02-21</t>
  </si>
  <si>
    <t>13106655067</t>
  </si>
  <si>
    <t>入职日期</t>
    <phoneticPr fontId="19" type="noConversion"/>
  </si>
  <si>
    <t>生产部-辅助人工</t>
    <phoneticPr fontId="19" type="noConversion"/>
  </si>
  <si>
    <t>生产部-直接人工</t>
    <phoneticPr fontId="19" type="noConversion"/>
  </si>
  <si>
    <t>岗位</t>
  </si>
  <si>
    <t>默认</t>
  </si>
  <si>
    <t>默认</t>
    <phoneticPr fontId="19" type="noConversion"/>
  </si>
  <si>
    <t>销售部用</t>
  </si>
  <si>
    <t>研发部用</t>
  </si>
  <si>
    <t>考勤班次</t>
  </si>
  <si>
    <t>容量上限</t>
    <phoneticPr fontId="19" type="noConversion"/>
  </si>
  <si>
    <t>序号</t>
    <phoneticPr fontId="19" type="noConversion"/>
  </si>
  <si>
    <t>工号</t>
  </si>
  <si>
    <t>工号</t>
    <phoneticPr fontId="19" type="noConversion"/>
  </si>
  <si>
    <t>入住房号</t>
    <phoneticPr fontId="19" type="noConversion"/>
  </si>
  <si>
    <t>JG910001</t>
    <phoneticPr fontId="19" type="noConversion"/>
  </si>
  <si>
    <t>JG910002</t>
  </si>
  <si>
    <t>JG910003</t>
  </si>
  <si>
    <t>JG910004</t>
  </si>
  <si>
    <t>JG910005</t>
  </si>
  <si>
    <t>JG910006</t>
  </si>
  <si>
    <t>JG910007</t>
  </si>
  <si>
    <t>JG910008</t>
  </si>
  <si>
    <t>JG910009</t>
  </si>
  <si>
    <t>JG910010</t>
  </si>
  <si>
    <t>JG910011</t>
  </si>
  <si>
    <t>JG910012</t>
  </si>
  <si>
    <t>JG910013</t>
  </si>
  <si>
    <t>JG910014</t>
  </si>
  <si>
    <t>JG910015</t>
  </si>
  <si>
    <t>JG910016</t>
  </si>
  <si>
    <t>JG910017</t>
  </si>
  <si>
    <t>JG910018</t>
  </si>
  <si>
    <t>其他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</si>
</sst>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\-mm\-dd;@"/>
  </numFmts>
  <fonts count="27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</font>
    <font>
      <sz val="12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b/>
      <sz val="11"/>
      <color indexed="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/>
    </xf>
    <xf numFmtId="176" fontId="0" fillId="0" borderId="5" xfId="0" applyNumberFormat="1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4" fontId="0" fillId="0" borderId="5" xfId="0" applyNumberFormat="1" applyFill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10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 wrapText="1"/>
    </xf>
    <xf numFmtId="0" fontId="11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14" fontId="0" fillId="0" borderId="5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0" fillId="0" borderId="5" xfId="0" applyNumberFormat="1" applyFont="1" applyFill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14" fontId="10" fillId="0" borderId="5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49" fontId="13" fillId="0" borderId="5" xfId="0" applyNumberFormat="1" applyFont="1" applyFill="1" applyBorder="1" applyAlignment="1">
      <alignment horizontal="center" vertical="center" shrinkToFit="1"/>
    </xf>
    <xf numFmtId="176" fontId="10" fillId="0" borderId="5" xfId="0" applyNumberFormat="1" applyFont="1" applyBorder="1" applyAlignment="1">
      <alignment horizontal="center" vertical="center"/>
    </xf>
    <xf numFmtId="49" fontId="9" fillId="0" borderId="5" xfId="0" applyNumberFormat="1" applyFont="1" applyFill="1" applyBorder="1" applyAlignment="1">
      <alignment horizontal="center" vertical="center" shrinkToFit="1"/>
    </xf>
    <xf numFmtId="49" fontId="8" fillId="0" borderId="5" xfId="0" applyNumberFormat="1" applyFont="1" applyFill="1" applyBorder="1" applyAlignment="1">
      <alignment horizontal="center" vertical="center" shrinkToFit="1"/>
    </xf>
    <xf numFmtId="0" fontId="8" fillId="0" borderId="8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49" fontId="9" fillId="0" borderId="5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4" fillId="0" borderId="5" xfId="0" applyNumberFormat="1" applyFont="1" applyBorder="1" applyAlignment="1">
      <alignment horizontal="center" vertical="center"/>
    </xf>
    <xf numFmtId="14" fontId="2" fillId="0" borderId="5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14" fontId="2" fillId="0" borderId="6" xfId="0" applyNumberFormat="1" applyFont="1" applyFill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10" fillId="0" borderId="6" xfId="0" applyNumberFormat="1" applyFont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shrinkToFit="1"/>
    </xf>
    <xf numFmtId="14" fontId="0" fillId="0" borderId="4" xfId="0" applyNumberFormat="1" applyFont="1" applyFill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shrinkToFit="1"/>
    </xf>
    <xf numFmtId="49" fontId="13" fillId="0" borderId="5" xfId="0" applyNumberFormat="1" applyFont="1" applyFill="1" applyBorder="1" applyAlignment="1">
      <alignment horizontal="center" vertical="center" wrapText="1"/>
    </xf>
    <xf numFmtId="14" fontId="9" fillId="0" borderId="5" xfId="0" applyNumberFormat="1" applyFont="1" applyFill="1" applyBorder="1" applyAlignment="1">
      <alignment horizontal="center" vertical="center"/>
    </xf>
    <xf numFmtId="0" fontId="14" fillId="2" borderId="5" xfId="0" applyNumberFormat="1" applyFont="1" applyFill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13" fillId="0" borderId="5" xfId="0" applyNumberFormat="1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horizontal="center" vertical="center"/>
    </xf>
    <xf numFmtId="14" fontId="8" fillId="0" borderId="5" xfId="0" applyNumberFormat="1" applyFont="1" applyFill="1" applyBorder="1" applyAlignment="1">
      <alignment horizontal="center" vertical="center"/>
    </xf>
    <xf numFmtId="49" fontId="8" fillId="0" borderId="5" xfId="0" applyNumberFormat="1" applyFont="1" applyFill="1" applyBorder="1" applyAlignment="1">
      <alignment horizontal="center" vertical="center" wrapText="1"/>
    </xf>
    <xf numFmtId="58" fontId="10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176" fontId="0" fillId="0" borderId="4" xfId="0" applyNumberFormat="1" applyFont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 shrinkToFit="1"/>
    </xf>
    <xf numFmtId="0" fontId="2" fillId="0" borderId="4" xfId="0" applyNumberFormat="1" applyFont="1" applyBorder="1" applyAlignment="1">
      <alignment horizontal="center" vertical="center"/>
    </xf>
    <xf numFmtId="49" fontId="9" fillId="0" borderId="6" xfId="0" applyNumberFormat="1" applyFont="1" applyFill="1" applyBorder="1" applyAlignment="1">
      <alignment horizontal="center" vertical="center" shrinkToFit="1"/>
    </xf>
    <xf numFmtId="0" fontId="0" fillId="0" borderId="6" xfId="0" applyFont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14" fontId="9" fillId="0" borderId="5" xfId="0" applyNumberFormat="1" applyFont="1" applyFill="1" applyBorder="1" applyAlignment="1">
      <alignment horizontal="center" vertical="center" shrinkToFit="1"/>
    </xf>
    <xf numFmtId="49" fontId="2" fillId="0" borderId="5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0" fillId="0" borderId="5" xfId="0" applyFont="1" applyBorder="1">
      <alignment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58" fontId="0" fillId="0" borderId="5" xfId="0" applyNumberFormat="1" applyFont="1" applyBorder="1" applyAlignment="1">
      <alignment horizontal="center" vertical="center"/>
    </xf>
    <xf numFmtId="0" fontId="10" fillId="0" borderId="5" xfId="0" applyNumberFormat="1" applyFont="1" applyBorder="1">
      <alignment vertical="center"/>
    </xf>
    <xf numFmtId="176" fontId="2" fillId="0" borderId="5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0" fillId="0" borderId="6" xfId="0" applyNumberFormat="1" applyFont="1" applyFill="1" applyBorder="1" applyAlignment="1">
      <alignment horizontal="center" vertical="center"/>
    </xf>
    <xf numFmtId="0" fontId="10" fillId="0" borderId="5" xfId="0" applyFont="1" applyBorder="1">
      <alignment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15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0" fillId="0" borderId="5" xfId="0" applyNumberForma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10" fillId="0" borderId="5" xfId="0" applyFont="1" applyFill="1" applyBorder="1" applyAlignment="1">
      <alignment vertical="center"/>
    </xf>
    <xf numFmtId="0" fontId="9" fillId="2" borderId="5" xfId="0" applyFont="1" applyFill="1" applyBorder="1" applyAlignment="1">
      <alignment horizontal="center" vertical="center" shrinkToFit="1"/>
    </xf>
    <xf numFmtId="0" fontId="9" fillId="0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76" fontId="20" fillId="0" borderId="4" xfId="0" applyNumberFormat="1" applyFont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21" fillId="0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177" fontId="0" fillId="0" borderId="0" xfId="0" applyNumberFormat="1">
      <alignment vertical="center"/>
    </xf>
    <xf numFmtId="0" fontId="22" fillId="3" borderId="0" xfId="0" applyFont="1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176" fontId="20" fillId="3" borderId="4" xfId="0" applyNumberFormat="1" applyFont="1" applyFill="1" applyBorder="1" applyAlignment="1">
      <alignment horizontal="center" vertical="center"/>
    </xf>
    <xf numFmtId="177" fontId="6" fillId="3" borderId="4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3" borderId="0" xfId="0" applyFont="1" applyFill="1">
      <alignment vertical="center"/>
    </xf>
    <xf numFmtId="0" fontId="0" fillId="0" borderId="5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14" fillId="2" borderId="6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center" vertical="center" wrapText="1"/>
    </xf>
    <xf numFmtId="0" fontId="1" fillId="0" borderId="8" xfId="0" applyNumberFormat="1" applyFont="1" applyBorder="1" applyAlignment="1">
      <alignment horizontal="center" vertical="center"/>
    </xf>
  </cellXfs>
  <cellStyles count="1">
    <cellStyle name="常规" xfId="0" builtinId="0"/>
  </cellStyles>
  <dxfs count="12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C067-4091-4B10-9FEB-00D3AB05ED20}">
  <dimension ref="A1:O908"/>
  <sheetViews>
    <sheetView tabSelected="1" topLeftCell="A873" zoomScaleNormal="100" workbookViewId="0">
      <selection activeCell="D906" sqref="D906"/>
    </sheetView>
  </sheetViews>
  <sheetFormatPr defaultColWidth="3.77734375" defaultRowHeight="14.4" x14ac:dyDescent="0.25"/>
  <cols>
    <col min="1" max="1" width="10" bestFit="1" customWidth="1"/>
    <col min="2" max="2" width="10.5546875" bestFit="1" customWidth="1"/>
    <col min="3" max="3" width="10" bestFit="1" customWidth="1"/>
    <col min="4" max="4" width="11.6640625" bestFit="1" customWidth="1"/>
    <col min="5" max="5" width="6.21875" bestFit="1" customWidth="1"/>
    <col min="6" max="6" width="11" style="1" bestFit="1" customWidth="1"/>
    <col min="7" max="7" width="24.88671875" bestFit="1" customWidth="1"/>
    <col min="8" max="8" width="6.21875" style="1" bestFit="1" customWidth="1"/>
    <col min="9" max="9" width="11.6640625" bestFit="1" customWidth="1"/>
    <col min="10" max="10" width="11" bestFit="1" customWidth="1"/>
    <col min="11" max="11" width="12.77734375" bestFit="1" customWidth="1"/>
    <col min="12" max="12" width="12.5546875" bestFit="1" customWidth="1"/>
    <col min="13" max="13" width="8" bestFit="1" customWidth="1"/>
    <col min="14" max="14" width="17.21875" bestFit="1" customWidth="1"/>
    <col min="15" max="15" width="15" style="155" bestFit="1" customWidth="1"/>
  </cols>
  <sheetData>
    <row r="1" spans="1:15" ht="15.6" x14ac:dyDescent="0.25">
      <c r="A1" s="156" t="s">
        <v>598</v>
      </c>
      <c r="B1" s="156" t="s">
        <v>599</v>
      </c>
      <c r="C1" s="156" t="s">
        <v>598</v>
      </c>
      <c r="D1" s="157" t="s">
        <v>7</v>
      </c>
      <c r="E1" s="157" t="s">
        <v>6</v>
      </c>
      <c r="F1" s="158" t="s">
        <v>586</v>
      </c>
      <c r="G1" s="156" t="s">
        <v>585</v>
      </c>
      <c r="H1" s="158" t="s">
        <v>592</v>
      </c>
      <c r="I1" s="159" t="s">
        <v>3389</v>
      </c>
      <c r="J1" s="157" t="s">
        <v>11</v>
      </c>
      <c r="K1" s="156" t="s">
        <v>602</v>
      </c>
      <c r="L1" s="156" t="s">
        <v>603</v>
      </c>
      <c r="M1" s="156" t="s">
        <v>604</v>
      </c>
      <c r="N1" s="156" t="s">
        <v>605</v>
      </c>
      <c r="O1" s="160" t="s">
        <v>9</v>
      </c>
    </row>
    <row r="2" spans="1:15" x14ac:dyDescent="0.25">
      <c r="A2" t="s">
        <v>1659</v>
      </c>
      <c r="B2" t="s">
        <v>1660</v>
      </c>
      <c r="C2" t="s">
        <v>1659</v>
      </c>
      <c r="F2" s="161" t="s">
        <v>3394</v>
      </c>
      <c r="G2" t="s">
        <v>749</v>
      </c>
      <c r="H2" s="1" t="s">
        <v>3393</v>
      </c>
      <c r="I2" t="s">
        <v>850</v>
      </c>
      <c r="K2" t="s">
        <v>1661</v>
      </c>
      <c r="L2" t="s">
        <v>612</v>
      </c>
      <c r="M2" t="s">
        <v>613</v>
      </c>
    </row>
    <row r="3" spans="1:15" x14ac:dyDescent="0.25">
      <c r="A3" t="s">
        <v>2221</v>
      </c>
      <c r="B3" t="s">
        <v>2222</v>
      </c>
      <c r="C3" t="s">
        <v>2221</v>
      </c>
      <c r="F3" s="161" t="s">
        <v>3394</v>
      </c>
      <c r="G3" t="s">
        <v>749</v>
      </c>
      <c r="H3" s="1" t="s">
        <v>3393</v>
      </c>
      <c r="I3" t="s">
        <v>850</v>
      </c>
      <c r="K3" t="s">
        <v>2223</v>
      </c>
      <c r="L3" t="s">
        <v>612</v>
      </c>
      <c r="M3" t="s">
        <v>613</v>
      </c>
    </row>
    <row r="4" spans="1:15" x14ac:dyDescent="0.25">
      <c r="A4" t="s">
        <v>2416</v>
      </c>
      <c r="B4" t="s">
        <v>2417</v>
      </c>
      <c r="C4" t="s">
        <v>2416</v>
      </c>
      <c r="F4" s="161" t="s">
        <v>3394</v>
      </c>
      <c r="G4" t="s">
        <v>700</v>
      </c>
      <c r="H4" s="1" t="s">
        <v>3393</v>
      </c>
      <c r="I4" t="s">
        <v>745</v>
      </c>
      <c r="K4" t="s">
        <v>2418</v>
      </c>
      <c r="L4" t="s">
        <v>612</v>
      </c>
      <c r="M4" t="s">
        <v>613</v>
      </c>
    </row>
    <row r="5" spans="1:15" x14ac:dyDescent="0.25">
      <c r="A5" t="s">
        <v>624</v>
      </c>
      <c r="B5" t="s">
        <v>625</v>
      </c>
      <c r="C5" t="s">
        <v>624</v>
      </c>
      <c r="F5" s="161" t="s">
        <v>3394</v>
      </c>
      <c r="G5" t="s">
        <v>626</v>
      </c>
      <c r="H5" s="1" t="s">
        <v>3393</v>
      </c>
      <c r="I5" t="s">
        <v>627</v>
      </c>
      <c r="L5" t="s">
        <v>612</v>
      </c>
      <c r="M5" t="s">
        <v>613</v>
      </c>
      <c r="N5" t="s">
        <v>628</v>
      </c>
    </row>
    <row r="6" spans="1:15" x14ac:dyDescent="0.25">
      <c r="A6" t="s">
        <v>643</v>
      </c>
      <c r="B6" t="s">
        <v>644</v>
      </c>
      <c r="C6" t="s">
        <v>643</v>
      </c>
      <c r="F6" s="161" t="s">
        <v>3394</v>
      </c>
      <c r="G6" t="s">
        <v>645</v>
      </c>
      <c r="H6" s="1" t="s">
        <v>3393</v>
      </c>
      <c r="I6" t="s">
        <v>646</v>
      </c>
      <c r="K6" t="s">
        <v>647</v>
      </c>
      <c r="L6" t="s">
        <v>612</v>
      </c>
      <c r="M6" t="s">
        <v>613</v>
      </c>
      <c r="N6" t="s">
        <v>648</v>
      </c>
    </row>
    <row r="7" spans="1:15" x14ac:dyDescent="0.25">
      <c r="A7" t="s">
        <v>76</v>
      </c>
      <c r="B7" t="s">
        <v>664</v>
      </c>
      <c r="C7" t="s">
        <v>76</v>
      </c>
      <c r="D7" t="s">
        <v>64</v>
      </c>
      <c r="E7" t="s">
        <v>15</v>
      </c>
      <c r="F7" s="161" t="s">
        <v>3394</v>
      </c>
      <c r="G7" t="s">
        <v>665</v>
      </c>
      <c r="H7" s="1" t="s">
        <v>3393</v>
      </c>
      <c r="I7" t="s">
        <v>666</v>
      </c>
      <c r="K7" t="s">
        <v>667</v>
      </c>
      <c r="L7" t="s">
        <v>612</v>
      </c>
      <c r="M7" t="s">
        <v>613</v>
      </c>
      <c r="N7" t="s">
        <v>628</v>
      </c>
      <c r="O7" s="155">
        <v>43969</v>
      </c>
    </row>
    <row r="8" spans="1:15" x14ac:dyDescent="0.25">
      <c r="A8" t="s">
        <v>184</v>
      </c>
      <c r="B8" t="s">
        <v>672</v>
      </c>
      <c r="C8" t="s">
        <v>184</v>
      </c>
      <c r="D8" t="s">
        <v>64</v>
      </c>
      <c r="E8" t="s">
        <v>15</v>
      </c>
      <c r="F8" s="161" t="s">
        <v>3394</v>
      </c>
      <c r="G8" t="s">
        <v>673</v>
      </c>
      <c r="H8" s="1" t="s">
        <v>3393</v>
      </c>
      <c r="I8" t="s">
        <v>674</v>
      </c>
      <c r="K8" t="s">
        <v>675</v>
      </c>
      <c r="L8" t="s">
        <v>612</v>
      </c>
      <c r="M8" t="s">
        <v>613</v>
      </c>
      <c r="N8" t="s">
        <v>648</v>
      </c>
      <c r="O8" s="155">
        <v>42483</v>
      </c>
    </row>
    <row r="9" spans="1:15" x14ac:dyDescent="0.25">
      <c r="A9" t="s">
        <v>309</v>
      </c>
      <c r="B9" t="s">
        <v>711</v>
      </c>
      <c r="C9" t="s">
        <v>309</v>
      </c>
      <c r="D9" t="s">
        <v>16</v>
      </c>
      <c r="E9" t="s">
        <v>15</v>
      </c>
      <c r="F9" s="161" t="s">
        <v>3394</v>
      </c>
      <c r="G9" t="s">
        <v>712</v>
      </c>
      <c r="H9" s="1" t="s">
        <v>3393</v>
      </c>
      <c r="I9" t="s">
        <v>713</v>
      </c>
      <c r="K9" t="s">
        <v>714</v>
      </c>
      <c r="L9" t="s">
        <v>612</v>
      </c>
      <c r="M9" t="s">
        <v>613</v>
      </c>
      <c r="N9" t="s">
        <v>648</v>
      </c>
      <c r="O9" s="155">
        <v>44578</v>
      </c>
    </row>
    <row r="10" spans="1:15" x14ac:dyDescent="0.25">
      <c r="A10" t="s">
        <v>186</v>
      </c>
      <c r="B10" t="s">
        <v>771</v>
      </c>
      <c r="C10" t="s">
        <v>186</v>
      </c>
      <c r="D10" t="s">
        <v>64</v>
      </c>
      <c r="E10" t="s">
        <v>15</v>
      </c>
      <c r="F10" s="161" t="s">
        <v>3394</v>
      </c>
      <c r="G10" t="s">
        <v>673</v>
      </c>
      <c r="H10" s="1" t="s">
        <v>3393</v>
      </c>
      <c r="I10" t="s">
        <v>772</v>
      </c>
      <c r="K10" t="s">
        <v>773</v>
      </c>
      <c r="L10" t="s">
        <v>612</v>
      </c>
      <c r="M10" t="s">
        <v>613</v>
      </c>
      <c r="N10" t="s">
        <v>648</v>
      </c>
      <c r="O10" s="155">
        <v>42182</v>
      </c>
    </row>
    <row r="11" spans="1:15" x14ac:dyDescent="0.25">
      <c r="A11" t="s">
        <v>134</v>
      </c>
      <c r="B11" t="s">
        <v>808</v>
      </c>
      <c r="C11" t="s">
        <v>134</v>
      </c>
      <c r="D11" t="s">
        <v>64</v>
      </c>
      <c r="E11" t="s">
        <v>19</v>
      </c>
      <c r="F11" s="161" t="s">
        <v>3394</v>
      </c>
      <c r="G11" t="s">
        <v>173</v>
      </c>
      <c r="H11" s="1" t="s">
        <v>3393</v>
      </c>
      <c r="I11" t="s">
        <v>809</v>
      </c>
      <c r="K11" t="s">
        <v>810</v>
      </c>
      <c r="L11" t="s">
        <v>612</v>
      </c>
      <c r="M11" t="s">
        <v>613</v>
      </c>
      <c r="N11" t="s">
        <v>628</v>
      </c>
      <c r="O11" s="155">
        <v>45731</v>
      </c>
    </row>
    <row r="12" spans="1:15" x14ac:dyDescent="0.25">
      <c r="A12" t="s">
        <v>183</v>
      </c>
      <c r="B12" t="s">
        <v>841</v>
      </c>
      <c r="C12" t="s">
        <v>183</v>
      </c>
      <c r="D12" t="s">
        <v>64</v>
      </c>
      <c r="E12" t="s">
        <v>15</v>
      </c>
      <c r="F12" s="161" t="s">
        <v>3394</v>
      </c>
      <c r="G12" t="s">
        <v>673</v>
      </c>
      <c r="H12" s="1" t="s">
        <v>3393</v>
      </c>
      <c r="I12" t="s">
        <v>842</v>
      </c>
      <c r="K12" t="s">
        <v>843</v>
      </c>
      <c r="L12" t="s">
        <v>612</v>
      </c>
      <c r="M12" t="s">
        <v>613</v>
      </c>
      <c r="N12" t="s">
        <v>648</v>
      </c>
      <c r="O12" s="155">
        <v>42382</v>
      </c>
    </row>
    <row r="13" spans="1:15" x14ac:dyDescent="0.25">
      <c r="A13" t="s">
        <v>904</v>
      </c>
      <c r="B13" t="s">
        <v>905</v>
      </c>
      <c r="C13" t="s">
        <v>904</v>
      </c>
      <c r="F13" s="161" t="s">
        <v>3394</v>
      </c>
      <c r="G13" t="s">
        <v>906</v>
      </c>
      <c r="H13" s="1" t="s">
        <v>3393</v>
      </c>
      <c r="I13" t="s">
        <v>907</v>
      </c>
      <c r="K13" t="s">
        <v>908</v>
      </c>
      <c r="L13" t="s">
        <v>612</v>
      </c>
      <c r="M13" t="s">
        <v>613</v>
      </c>
      <c r="N13" t="s">
        <v>648</v>
      </c>
    </row>
    <row r="14" spans="1:15" x14ac:dyDescent="0.25">
      <c r="A14" t="s">
        <v>916</v>
      </c>
      <c r="B14" t="s">
        <v>917</v>
      </c>
      <c r="C14" t="s">
        <v>916</v>
      </c>
      <c r="F14" s="161" t="s">
        <v>3394</v>
      </c>
      <c r="G14" t="s">
        <v>918</v>
      </c>
      <c r="H14" s="1" t="s">
        <v>3393</v>
      </c>
      <c r="I14" t="s">
        <v>919</v>
      </c>
      <c r="K14" t="s">
        <v>920</v>
      </c>
      <c r="L14" t="s">
        <v>612</v>
      </c>
      <c r="M14" t="s">
        <v>613</v>
      </c>
      <c r="N14" t="s">
        <v>648</v>
      </c>
    </row>
    <row r="15" spans="1:15" x14ac:dyDescent="0.25">
      <c r="A15" t="s">
        <v>941</v>
      </c>
      <c r="B15" t="s">
        <v>942</v>
      </c>
      <c r="C15" t="s">
        <v>941</v>
      </c>
      <c r="F15" s="161" t="s">
        <v>3394</v>
      </c>
      <c r="G15" t="s">
        <v>943</v>
      </c>
      <c r="H15" s="1" t="s">
        <v>3393</v>
      </c>
      <c r="I15" t="s">
        <v>944</v>
      </c>
      <c r="K15" t="s">
        <v>945</v>
      </c>
      <c r="L15" t="s">
        <v>612</v>
      </c>
      <c r="M15" t="s">
        <v>613</v>
      </c>
      <c r="N15" t="s">
        <v>648</v>
      </c>
    </row>
    <row r="16" spans="1:15" x14ac:dyDescent="0.25">
      <c r="A16" t="s">
        <v>960</v>
      </c>
      <c r="B16" t="s">
        <v>961</v>
      </c>
      <c r="C16" t="s">
        <v>960</v>
      </c>
      <c r="F16" s="161" t="s">
        <v>3394</v>
      </c>
      <c r="G16" t="s">
        <v>962</v>
      </c>
      <c r="H16" s="1" t="s">
        <v>3393</v>
      </c>
      <c r="I16" t="s">
        <v>963</v>
      </c>
      <c r="K16" t="s">
        <v>964</v>
      </c>
      <c r="L16" t="s">
        <v>612</v>
      </c>
      <c r="M16" t="s">
        <v>613</v>
      </c>
      <c r="N16" t="s">
        <v>648</v>
      </c>
    </row>
    <row r="17" spans="1:15" x14ac:dyDescent="0.25">
      <c r="A17" t="s">
        <v>987</v>
      </c>
      <c r="B17" t="s">
        <v>988</v>
      </c>
      <c r="C17" t="s">
        <v>987</v>
      </c>
      <c r="F17" s="161" t="s">
        <v>3394</v>
      </c>
      <c r="G17" t="s">
        <v>989</v>
      </c>
      <c r="H17" s="1" t="s">
        <v>3393</v>
      </c>
      <c r="I17" t="s">
        <v>877</v>
      </c>
      <c r="K17" t="s">
        <v>990</v>
      </c>
      <c r="L17" t="s">
        <v>612</v>
      </c>
      <c r="M17" t="s">
        <v>613</v>
      </c>
      <c r="N17" t="s">
        <v>648</v>
      </c>
    </row>
    <row r="18" spans="1:15" x14ac:dyDescent="0.25">
      <c r="A18" t="s">
        <v>1001</v>
      </c>
      <c r="B18" t="s">
        <v>1002</v>
      </c>
      <c r="C18" t="s">
        <v>1001</v>
      </c>
      <c r="F18" s="161" t="s">
        <v>3394</v>
      </c>
      <c r="G18" t="s">
        <v>1003</v>
      </c>
      <c r="H18" s="1" t="s">
        <v>3393</v>
      </c>
      <c r="I18" t="s">
        <v>1004</v>
      </c>
      <c r="K18" t="s">
        <v>1005</v>
      </c>
      <c r="L18" t="s">
        <v>612</v>
      </c>
      <c r="M18" t="s">
        <v>613</v>
      </c>
      <c r="N18" t="s">
        <v>648</v>
      </c>
    </row>
    <row r="19" spans="1:15" x14ac:dyDescent="0.25">
      <c r="A19" t="s">
        <v>1043</v>
      </c>
      <c r="B19" t="s">
        <v>1044</v>
      </c>
      <c r="C19" t="s">
        <v>1043</v>
      </c>
      <c r="F19" s="161" t="s">
        <v>3394</v>
      </c>
      <c r="G19" t="s">
        <v>1045</v>
      </c>
      <c r="H19" s="1" t="s">
        <v>3393</v>
      </c>
      <c r="I19" t="s">
        <v>1046</v>
      </c>
      <c r="K19" t="s">
        <v>1047</v>
      </c>
      <c r="L19" t="s">
        <v>612</v>
      </c>
      <c r="M19" t="s">
        <v>613</v>
      </c>
      <c r="N19" t="s">
        <v>648</v>
      </c>
    </row>
    <row r="20" spans="1:15" x14ac:dyDescent="0.25">
      <c r="A20" t="s">
        <v>180</v>
      </c>
      <c r="B20" t="s">
        <v>1101</v>
      </c>
      <c r="C20" t="s">
        <v>180</v>
      </c>
      <c r="D20" t="s">
        <v>64</v>
      </c>
      <c r="E20" t="s">
        <v>15</v>
      </c>
      <c r="F20" s="161" t="s">
        <v>3394</v>
      </c>
      <c r="G20" t="s">
        <v>1102</v>
      </c>
      <c r="H20" s="1" t="s">
        <v>3393</v>
      </c>
      <c r="I20" t="s">
        <v>791</v>
      </c>
      <c r="K20" t="s">
        <v>1103</v>
      </c>
      <c r="L20" t="s">
        <v>612</v>
      </c>
      <c r="M20" t="s">
        <v>613</v>
      </c>
      <c r="N20" t="s">
        <v>648</v>
      </c>
      <c r="O20" s="155">
        <v>39513</v>
      </c>
    </row>
    <row r="21" spans="1:15" x14ac:dyDescent="0.25">
      <c r="A21" t="s">
        <v>1110</v>
      </c>
      <c r="B21" t="s">
        <v>1111</v>
      </c>
      <c r="C21" t="s">
        <v>1110</v>
      </c>
      <c r="F21" s="161" t="s">
        <v>3394</v>
      </c>
      <c r="G21" t="s">
        <v>1112</v>
      </c>
      <c r="H21" s="1" t="s">
        <v>3393</v>
      </c>
      <c r="I21" t="s">
        <v>1113</v>
      </c>
      <c r="K21" t="s">
        <v>1114</v>
      </c>
      <c r="L21" t="s">
        <v>612</v>
      </c>
      <c r="M21" t="s">
        <v>613</v>
      </c>
      <c r="N21" t="s">
        <v>648</v>
      </c>
    </row>
    <row r="22" spans="1:15" x14ac:dyDescent="0.25">
      <c r="A22" t="s">
        <v>1262</v>
      </c>
      <c r="B22" t="s">
        <v>1263</v>
      </c>
      <c r="C22" t="s">
        <v>1262</v>
      </c>
      <c r="F22" s="161" t="s">
        <v>3394</v>
      </c>
      <c r="G22" t="s">
        <v>1264</v>
      </c>
      <c r="H22" s="1" t="s">
        <v>3393</v>
      </c>
      <c r="I22" t="s">
        <v>1041</v>
      </c>
      <c r="K22" t="s">
        <v>1265</v>
      </c>
      <c r="L22" t="s">
        <v>612</v>
      </c>
      <c r="M22" t="s">
        <v>613</v>
      </c>
      <c r="N22" t="s">
        <v>648</v>
      </c>
    </row>
    <row r="23" spans="1:15" x14ac:dyDescent="0.25">
      <c r="A23" t="s">
        <v>307</v>
      </c>
      <c r="B23" t="s">
        <v>1296</v>
      </c>
      <c r="C23" t="s">
        <v>307</v>
      </c>
      <c r="D23" t="s">
        <v>308</v>
      </c>
      <c r="E23" t="s">
        <v>15</v>
      </c>
      <c r="F23" s="161" t="s">
        <v>3394</v>
      </c>
      <c r="G23" t="s">
        <v>1297</v>
      </c>
      <c r="H23" s="1" t="s">
        <v>3393</v>
      </c>
      <c r="I23" t="s">
        <v>1298</v>
      </c>
      <c r="K23" t="s">
        <v>1299</v>
      </c>
      <c r="L23" t="s">
        <v>612</v>
      </c>
      <c r="M23" t="s">
        <v>613</v>
      </c>
      <c r="N23" t="s">
        <v>648</v>
      </c>
      <c r="O23" s="155">
        <v>42416</v>
      </c>
    </row>
    <row r="24" spans="1:15" x14ac:dyDescent="0.25">
      <c r="A24" t="s">
        <v>1338</v>
      </c>
      <c r="B24" t="s">
        <v>1339</v>
      </c>
      <c r="C24" t="s">
        <v>1338</v>
      </c>
      <c r="F24" s="161" t="s">
        <v>3394</v>
      </c>
      <c r="H24" s="1" t="s">
        <v>3393</v>
      </c>
      <c r="K24" t="s">
        <v>1340</v>
      </c>
      <c r="L24" t="s">
        <v>612</v>
      </c>
      <c r="M24" t="s">
        <v>613</v>
      </c>
      <c r="N24" t="s">
        <v>648</v>
      </c>
    </row>
    <row r="25" spans="1:15" x14ac:dyDescent="0.25">
      <c r="A25" t="s">
        <v>1377</v>
      </c>
      <c r="B25" t="s">
        <v>1378</v>
      </c>
      <c r="C25" t="s">
        <v>1377</v>
      </c>
      <c r="F25" s="161" t="s">
        <v>3394</v>
      </c>
      <c r="G25" t="s">
        <v>1379</v>
      </c>
      <c r="H25" s="1" t="s">
        <v>3393</v>
      </c>
      <c r="I25" t="s">
        <v>1380</v>
      </c>
      <c r="K25" t="s">
        <v>1381</v>
      </c>
      <c r="L25" t="s">
        <v>612</v>
      </c>
      <c r="M25" t="s">
        <v>613</v>
      </c>
      <c r="N25" t="s">
        <v>648</v>
      </c>
    </row>
    <row r="26" spans="1:15" x14ac:dyDescent="0.25">
      <c r="A26" t="s">
        <v>143</v>
      </c>
      <c r="B26" t="s">
        <v>1389</v>
      </c>
      <c r="C26" t="s">
        <v>143</v>
      </c>
      <c r="D26" t="s">
        <v>64</v>
      </c>
      <c r="E26" t="s">
        <v>19</v>
      </c>
      <c r="F26" s="161" t="s">
        <v>3394</v>
      </c>
      <c r="G26" t="s">
        <v>1390</v>
      </c>
      <c r="H26" s="1" t="s">
        <v>3393</v>
      </c>
      <c r="I26" t="s">
        <v>1391</v>
      </c>
      <c r="L26" t="s">
        <v>612</v>
      </c>
      <c r="M26" t="s">
        <v>613</v>
      </c>
      <c r="N26" t="s">
        <v>648</v>
      </c>
      <c r="O26" s="155">
        <v>46154</v>
      </c>
    </row>
    <row r="27" spans="1:15" x14ac:dyDescent="0.25">
      <c r="A27" t="s">
        <v>364</v>
      </c>
      <c r="B27" t="s">
        <v>1395</v>
      </c>
      <c r="C27" t="s">
        <v>364</v>
      </c>
      <c r="D27" t="s">
        <v>64</v>
      </c>
      <c r="E27" t="s">
        <v>15</v>
      </c>
      <c r="F27" s="161" t="s">
        <v>3394</v>
      </c>
      <c r="G27" t="s">
        <v>1396</v>
      </c>
      <c r="H27" s="1" t="s">
        <v>3393</v>
      </c>
      <c r="I27" t="s">
        <v>1397</v>
      </c>
      <c r="K27" t="s">
        <v>1398</v>
      </c>
      <c r="L27" t="s">
        <v>612</v>
      </c>
      <c r="M27" t="s">
        <v>613</v>
      </c>
      <c r="N27" t="s">
        <v>648</v>
      </c>
      <c r="O27" s="155">
        <v>45341</v>
      </c>
    </row>
    <row r="28" spans="1:15" x14ac:dyDescent="0.25">
      <c r="A28" t="s">
        <v>174</v>
      </c>
      <c r="B28" t="s">
        <v>1433</v>
      </c>
      <c r="C28" t="s">
        <v>174</v>
      </c>
      <c r="D28" t="s">
        <v>64</v>
      </c>
      <c r="E28" t="s">
        <v>19</v>
      </c>
      <c r="F28" s="161" t="s">
        <v>3394</v>
      </c>
      <c r="G28" t="s">
        <v>1434</v>
      </c>
      <c r="H28" s="1" t="s">
        <v>3393</v>
      </c>
      <c r="I28" t="s">
        <v>1435</v>
      </c>
      <c r="K28" t="s">
        <v>1436</v>
      </c>
      <c r="L28" t="s">
        <v>612</v>
      </c>
      <c r="M28" t="s">
        <v>613</v>
      </c>
      <c r="N28" t="s">
        <v>628</v>
      </c>
      <c r="O28" s="155">
        <v>45769</v>
      </c>
    </row>
    <row r="29" spans="1:15" x14ac:dyDescent="0.25">
      <c r="A29" t="s">
        <v>1475</v>
      </c>
      <c r="B29" t="s">
        <v>1476</v>
      </c>
      <c r="C29" t="s">
        <v>1475</v>
      </c>
      <c r="F29" s="161" t="s">
        <v>3394</v>
      </c>
      <c r="G29" t="s">
        <v>1477</v>
      </c>
      <c r="H29" s="1" t="s">
        <v>3393</v>
      </c>
      <c r="I29" t="s">
        <v>1478</v>
      </c>
      <c r="K29" t="s">
        <v>1479</v>
      </c>
      <c r="L29" t="s">
        <v>612</v>
      </c>
      <c r="M29" t="s">
        <v>613</v>
      </c>
      <c r="N29" t="s">
        <v>648</v>
      </c>
    </row>
    <row r="30" spans="1:15" x14ac:dyDescent="0.25">
      <c r="A30" t="s">
        <v>1531</v>
      </c>
      <c r="B30" t="s">
        <v>1532</v>
      </c>
      <c r="C30" t="s">
        <v>1531</v>
      </c>
      <c r="F30" s="161" t="s">
        <v>3394</v>
      </c>
      <c r="G30" t="s">
        <v>1533</v>
      </c>
      <c r="H30" s="1" t="s">
        <v>3393</v>
      </c>
      <c r="I30" t="s">
        <v>1534</v>
      </c>
      <c r="K30" t="s">
        <v>1535</v>
      </c>
      <c r="L30" t="s">
        <v>612</v>
      </c>
      <c r="M30" t="s">
        <v>613</v>
      </c>
      <c r="N30" t="s">
        <v>648</v>
      </c>
    </row>
    <row r="31" spans="1:15" x14ac:dyDescent="0.25">
      <c r="A31" t="s">
        <v>1548</v>
      </c>
      <c r="B31" t="s">
        <v>1549</v>
      </c>
      <c r="C31" t="s">
        <v>1548</v>
      </c>
      <c r="F31" s="161" t="s">
        <v>3394</v>
      </c>
      <c r="G31" t="s">
        <v>173</v>
      </c>
      <c r="H31" s="1" t="s">
        <v>3393</v>
      </c>
      <c r="I31" t="s">
        <v>1550</v>
      </c>
      <c r="K31" t="s">
        <v>1551</v>
      </c>
      <c r="L31" t="s">
        <v>612</v>
      </c>
      <c r="M31" t="s">
        <v>613</v>
      </c>
      <c r="N31" t="s">
        <v>628</v>
      </c>
    </row>
    <row r="32" spans="1:15" x14ac:dyDescent="0.25">
      <c r="A32" t="s">
        <v>1582</v>
      </c>
      <c r="B32" t="s">
        <v>1583</v>
      </c>
      <c r="C32" t="s">
        <v>1582</v>
      </c>
      <c r="F32" s="161" t="s">
        <v>3394</v>
      </c>
      <c r="G32" t="s">
        <v>943</v>
      </c>
      <c r="H32" s="1" t="s">
        <v>3393</v>
      </c>
      <c r="I32" t="s">
        <v>1214</v>
      </c>
      <c r="L32" t="s">
        <v>612</v>
      </c>
      <c r="M32" t="s">
        <v>613</v>
      </c>
      <c r="N32" t="s">
        <v>648</v>
      </c>
    </row>
    <row r="33" spans="1:15" x14ac:dyDescent="0.25">
      <c r="A33" t="s">
        <v>1631</v>
      </c>
      <c r="B33" t="s">
        <v>1632</v>
      </c>
      <c r="C33" t="s">
        <v>1631</v>
      </c>
      <c r="F33" s="161" t="s">
        <v>3394</v>
      </c>
      <c r="G33" t="s">
        <v>1434</v>
      </c>
      <c r="H33" s="1" t="s">
        <v>3393</v>
      </c>
      <c r="I33" t="s">
        <v>1633</v>
      </c>
      <c r="K33" t="s">
        <v>1634</v>
      </c>
      <c r="L33" t="s">
        <v>612</v>
      </c>
      <c r="M33" t="s">
        <v>613</v>
      </c>
      <c r="N33" t="s">
        <v>648</v>
      </c>
    </row>
    <row r="34" spans="1:15" x14ac:dyDescent="0.25">
      <c r="A34" t="s">
        <v>1664</v>
      </c>
      <c r="B34" t="s">
        <v>1665</v>
      </c>
      <c r="C34" t="s">
        <v>1664</v>
      </c>
      <c r="F34" s="161" t="s">
        <v>3394</v>
      </c>
      <c r="G34" t="s">
        <v>1666</v>
      </c>
      <c r="H34" s="1" t="s">
        <v>3393</v>
      </c>
      <c r="I34" t="s">
        <v>791</v>
      </c>
      <c r="K34" t="s">
        <v>1667</v>
      </c>
      <c r="L34" t="s">
        <v>612</v>
      </c>
      <c r="M34" t="s">
        <v>613</v>
      </c>
      <c r="N34" t="s">
        <v>648</v>
      </c>
    </row>
    <row r="35" spans="1:15" x14ac:dyDescent="0.25">
      <c r="A35" t="s">
        <v>1744</v>
      </c>
      <c r="B35" t="s">
        <v>1745</v>
      </c>
      <c r="C35" t="s">
        <v>1744</v>
      </c>
      <c r="F35" s="161" t="s">
        <v>3394</v>
      </c>
      <c r="G35" t="s">
        <v>1102</v>
      </c>
      <c r="H35" s="1" t="s">
        <v>3393</v>
      </c>
      <c r="I35" t="s">
        <v>823</v>
      </c>
      <c r="K35" t="s">
        <v>1746</v>
      </c>
      <c r="L35" t="s">
        <v>612</v>
      </c>
      <c r="M35" t="s">
        <v>613</v>
      </c>
      <c r="N35" t="s">
        <v>648</v>
      </c>
    </row>
    <row r="36" spans="1:15" x14ac:dyDescent="0.25">
      <c r="A36" t="s">
        <v>1747</v>
      </c>
      <c r="B36" t="s">
        <v>1748</v>
      </c>
      <c r="C36" t="s">
        <v>1747</v>
      </c>
      <c r="F36" s="161" t="s">
        <v>3394</v>
      </c>
      <c r="G36" t="s">
        <v>1102</v>
      </c>
      <c r="H36" s="1" t="s">
        <v>3393</v>
      </c>
      <c r="I36" t="s">
        <v>1749</v>
      </c>
      <c r="K36" t="s">
        <v>1750</v>
      </c>
      <c r="L36" t="s">
        <v>612</v>
      </c>
      <c r="M36" t="s">
        <v>613</v>
      </c>
      <c r="N36" t="s">
        <v>648</v>
      </c>
    </row>
    <row r="37" spans="1:15" x14ac:dyDescent="0.25">
      <c r="A37" t="s">
        <v>172</v>
      </c>
      <c r="B37" t="s">
        <v>1778</v>
      </c>
      <c r="C37" t="s">
        <v>172</v>
      </c>
      <c r="D37" t="s">
        <v>64</v>
      </c>
      <c r="E37" t="s">
        <v>19</v>
      </c>
      <c r="F37" s="161" t="s">
        <v>3394</v>
      </c>
      <c r="G37" t="s">
        <v>173</v>
      </c>
      <c r="H37" s="1" t="s">
        <v>3393</v>
      </c>
      <c r="I37" t="s">
        <v>1779</v>
      </c>
      <c r="K37" t="s">
        <v>1780</v>
      </c>
      <c r="L37" t="s">
        <v>612</v>
      </c>
      <c r="M37" t="s">
        <v>613</v>
      </c>
      <c r="N37" t="s">
        <v>628</v>
      </c>
      <c r="O37" s="155">
        <v>45370</v>
      </c>
    </row>
    <row r="38" spans="1:15" x14ac:dyDescent="0.25">
      <c r="A38" t="s">
        <v>1818</v>
      </c>
      <c r="B38" t="s">
        <v>1819</v>
      </c>
      <c r="C38" t="s">
        <v>1818</v>
      </c>
      <c r="F38" s="161" t="s">
        <v>3394</v>
      </c>
      <c r="G38" t="s">
        <v>1820</v>
      </c>
      <c r="H38" s="1" t="s">
        <v>3393</v>
      </c>
      <c r="I38" t="s">
        <v>1821</v>
      </c>
      <c r="K38" t="s">
        <v>1822</v>
      </c>
      <c r="L38" t="s">
        <v>612</v>
      </c>
      <c r="M38" t="s">
        <v>613</v>
      </c>
      <c r="N38" t="s">
        <v>648</v>
      </c>
    </row>
    <row r="39" spans="1:15" x14ac:dyDescent="0.25">
      <c r="A39" t="s">
        <v>1830</v>
      </c>
      <c r="B39" t="s">
        <v>1831</v>
      </c>
      <c r="C39" t="s">
        <v>1830</v>
      </c>
      <c r="F39" s="161" t="s">
        <v>3394</v>
      </c>
      <c r="G39" t="s">
        <v>173</v>
      </c>
      <c r="H39" s="1" t="s">
        <v>3393</v>
      </c>
      <c r="I39" t="s">
        <v>1832</v>
      </c>
      <c r="K39" t="s">
        <v>1833</v>
      </c>
      <c r="L39" t="s">
        <v>612</v>
      </c>
      <c r="M39" t="s">
        <v>613</v>
      </c>
      <c r="N39" t="s">
        <v>628</v>
      </c>
    </row>
    <row r="40" spans="1:15" x14ac:dyDescent="0.25">
      <c r="A40" t="s">
        <v>78</v>
      </c>
      <c r="B40" t="s">
        <v>1897</v>
      </c>
      <c r="C40" t="s">
        <v>78</v>
      </c>
      <c r="D40" t="s">
        <v>64</v>
      </c>
      <c r="E40" t="s">
        <v>15</v>
      </c>
      <c r="F40" s="161" t="s">
        <v>3394</v>
      </c>
      <c r="G40" t="s">
        <v>1898</v>
      </c>
      <c r="H40" s="1" t="s">
        <v>3393</v>
      </c>
      <c r="I40" t="s">
        <v>1899</v>
      </c>
      <c r="K40" t="s">
        <v>1900</v>
      </c>
      <c r="L40" t="s">
        <v>612</v>
      </c>
      <c r="M40" t="s">
        <v>613</v>
      </c>
      <c r="N40" t="s">
        <v>648</v>
      </c>
      <c r="O40" s="155">
        <v>38887</v>
      </c>
    </row>
    <row r="41" spans="1:15" x14ac:dyDescent="0.25">
      <c r="A41" t="s">
        <v>1901</v>
      </c>
      <c r="B41" t="s">
        <v>1902</v>
      </c>
      <c r="C41" t="s">
        <v>1901</v>
      </c>
      <c r="F41" s="161" t="s">
        <v>3394</v>
      </c>
      <c r="G41" t="s">
        <v>1903</v>
      </c>
      <c r="H41" s="1" t="s">
        <v>3393</v>
      </c>
      <c r="I41" t="s">
        <v>1904</v>
      </c>
      <c r="K41" t="s">
        <v>1905</v>
      </c>
      <c r="L41" t="s">
        <v>612</v>
      </c>
      <c r="M41" t="s">
        <v>613</v>
      </c>
      <c r="N41" t="s">
        <v>648</v>
      </c>
    </row>
    <row r="42" spans="1:15" x14ac:dyDescent="0.25">
      <c r="A42" t="s">
        <v>1925</v>
      </c>
      <c r="B42" t="s">
        <v>1926</v>
      </c>
      <c r="C42" t="s">
        <v>1925</v>
      </c>
      <c r="F42" s="161" t="s">
        <v>3394</v>
      </c>
      <c r="G42" t="s">
        <v>962</v>
      </c>
      <c r="H42" s="1" t="s">
        <v>3393</v>
      </c>
      <c r="I42" t="s">
        <v>1762</v>
      </c>
      <c r="K42" t="s">
        <v>1927</v>
      </c>
      <c r="L42" t="s">
        <v>612</v>
      </c>
      <c r="M42" t="s">
        <v>613</v>
      </c>
      <c r="N42" t="s">
        <v>648</v>
      </c>
    </row>
    <row r="43" spans="1:15" x14ac:dyDescent="0.25">
      <c r="A43" t="s">
        <v>325</v>
      </c>
      <c r="B43" t="s">
        <v>1969</v>
      </c>
      <c r="C43" t="s">
        <v>325</v>
      </c>
      <c r="D43" t="s">
        <v>64</v>
      </c>
      <c r="E43" t="s">
        <v>15</v>
      </c>
      <c r="F43" s="161" t="s">
        <v>3394</v>
      </c>
      <c r="G43" t="s">
        <v>1970</v>
      </c>
      <c r="H43" s="1" t="s">
        <v>3393</v>
      </c>
      <c r="I43" t="s">
        <v>894</v>
      </c>
      <c r="L43" t="s">
        <v>612</v>
      </c>
      <c r="M43" t="s">
        <v>613</v>
      </c>
      <c r="N43" t="s">
        <v>648</v>
      </c>
      <c r="O43" s="155">
        <v>46195</v>
      </c>
    </row>
    <row r="44" spans="1:15" x14ac:dyDescent="0.25">
      <c r="A44" t="s">
        <v>1978</v>
      </c>
      <c r="B44" t="s">
        <v>1979</v>
      </c>
      <c r="C44" t="s">
        <v>1978</v>
      </c>
      <c r="F44" s="161" t="s">
        <v>3394</v>
      </c>
      <c r="G44" t="s">
        <v>1379</v>
      </c>
      <c r="H44" s="1" t="s">
        <v>3393</v>
      </c>
      <c r="I44" t="s">
        <v>1980</v>
      </c>
      <c r="K44" t="s">
        <v>1981</v>
      </c>
      <c r="L44" t="s">
        <v>612</v>
      </c>
      <c r="M44" t="s">
        <v>613</v>
      </c>
      <c r="N44" t="s">
        <v>648</v>
      </c>
    </row>
    <row r="45" spans="1:15" x14ac:dyDescent="0.25">
      <c r="A45" t="s">
        <v>1989</v>
      </c>
      <c r="B45" t="s">
        <v>1990</v>
      </c>
      <c r="C45" t="s">
        <v>1989</v>
      </c>
      <c r="F45" s="161" t="s">
        <v>3394</v>
      </c>
      <c r="G45" t="s">
        <v>1991</v>
      </c>
      <c r="H45" s="1" t="s">
        <v>3393</v>
      </c>
      <c r="I45" t="s">
        <v>948</v>
      </c>
      <c r="K45" t="s">
        <v>1992</v>
      </c>
      <c r="L45" t="s">
        <v>612</v>
      </c>
      <c r="M45" t="s">
        <v>613</v>
      </c>
      <c r="N45" t="s">
        <v>648</v>
      </c>
    </row>
    <row r="46" spans="1:15" x14ac:dyDescent="0.25">
      <c r="A46" t="s">
        <v>2040</v>
      </c>
      <c r="B46" t="s">
        <v>2041</v>
      </c>
      <c r="C46" t="s">
        <v>2040</v>
      </c>
      <c r="F46" s="161" t="s">
        <v>3394</v>
      </c>
      <c r="G46" t="s">
        <v>1102</v>
      </c>
      <c r="H46" s="1" t="s">
        <v>3393</v>
      </c>
      <c r="I46" t="s">
        <v>2042</v>
      </c>
      <c r="K46" t="s">
        <v>2043</v>
      </c>
      <c r="L46" t="s">
        <v>612</v>
      </c>
      <c r="M46" t="s">
        <v>613</v>
      </c>
      <c r="N46" t="s">
        <v>648</v>
      </c>
    </row>
    <row r="47" spans="1:15" x14ac:dyDescent="0.25">
      <c r="A47" t="s">
        <v>2067</v>
      </c>
      <c r="B47" t="s">
        <v>2068</v>
      </c>
      <c r="C47" t="s">
        <v>2067</v>
      </c>
      <c r="F47" s="161" t="s">
        <v>3394</v>
      </c>
      <c r="G47" t="s">
        <v>2069</v>
      </c>
      <c r="H47" s="1" t="s">
        <v>3393</v>
      </c>
      <c r="I47" t="s">
        <v>2070</v>
      </c>
      <c r="K47" t="s">
        <v>2071</v>
      </c>
      <c r="L47" t="s">
        <v>612</v>
      </c>
      <c r="M47" t="s">
        <v>613</v>
      </c>
      <c r="N47" t="s">
        <v>648</v>
      </c>
    </row>
    <row r="48" spans="1:15" x14ac:dyDescent="0.25">
      <c r="A48" t="s">
        <v>181</v>
      </c>
      <c r="B48" t="s">
        <v>2099</v>
      </c>
      <c r="C48" t="s">
        <v>181</v>
      </c>
      <c r="D48" t="s">
        <v>64</v>
      </c>
      <c r="E48" t="s">
        <v>15</v>
      </c>
      <c r="F48" s="161" t="s">
        <v>3394</v>
      </c>
      <c r="G48" t="s">
        <v>1102</v>
      </c>
      <c r="H48" s="1" t="s">
        <v>3393</v>
      </c>
      <c r="I48" t="s">
        <v>791</v>
      </c>
      <c r="K48" t="s">
        <v>2100</v>
      </c>
      <c r="L48" t="s">
        <v>612</v>
      </c>
      <c r="M48" t="s">
        <v>613</v>
      </c>
      <c r="N48" t="s">
        <v>648</v>
      </c>
      <c r="O48" s="155">
        <v>40336</v>
      </c>
    </row>
    <row r="49" spans="1:15" x14ac:dyDescent="0.25">
      <c r="A49" t="s">
        <v>2128</v>
      </c>
      <c r="B49" t="s">
        <v>2129</v>
      </c>
      <c r="C49" t="s">
        <v>2128</v>
      </c>
      <c r="F49" s="161" t="s">
        <v>3394</v>
      </c>
      <c r="G49" t="s">
        <v>173</v>
      </c>
      <c r="H49" s="1" t="s">
        <v>3393</v>
      </c>
      <c r="I49" t="s">
        <v>1257</v>
      </c>
      <c r="L49" t="s">
        <v>612</v>
      </c>
      <c r="M49" t="s">
        <v>613</v>
      </c>
      <c r="N49" t="s">
        <v>628</v>
      </c>
    </row>
    <row r="50" spans="1:15" x14ac:dyDescent="0.25">
      <c r="A50" t="s">
        <v>2130</v>
      </c>
      <c r="B50" t="s">
        <v>2131</v>
      </c>
      <c r="C50" t="s">
        <v>2130</v>
      </c>
      <c r="F50" s="161" t="s">
        <v>3394</v>
      </c>
      <c r="G50" t="s">
        <v>2132</v>
      </c>
      <c r="H50" s="1" t="s">
        <v>3393</v>
      </c>
      <c r="I50" t="s">
        <v>1041</v>
      </c>
      <c r="K50" t="s">
        <v>2133</v>
      </c>
      <c r="L50" t="s">
        <v>612</v>
      </c>
      <c r="M50" t="s">
        <v>613</v>
      </c>
      <c r="N50" t="s">
        <v>648</v>
      </c>
    </row>
    <row r="51" spans="1:15" x14ac:dyDescent="0.25">
      <c r="A51" t="s">
        <v>2157</v>
      </c>
      <c r="B51" t="s">
        <v>2158</v>
      </c>
      <c r="C51" t="s">
        <v>2157</v>
      </c>
      <c r="F51" s="161" t="s">
        <v>3394</v>
      </c>
      <c r="G51" t="s">
        <v>626</v>
      </c>
      <c r="H51" s="1" t="s">
        <v>3393</v>
      </c>
      <c r="I51" t="s">
        <v>2159</v>
      </c>
      <c r="K51" t="s">
        <v>2160</v>
      </c>
      <c r="L51" t="s">
        <v>612</v>
      </c>
      <c r="M51" t="s">
        <v>613</v>
      </c>
      <c r="N51" t="s">
        <v>628</v>
      </c>
    </row>
    <row r="52" spans="1:15" x14ac:dyDescent="0.25">
      <c r="A52" t="s">
        <v>2209</v>
      </c>
      <c r="B52" t="s">
        <v>2210</v>
      </c>
      <c r="C52" t="s">
        <v>2209</v>
      </c>
      <c r="F52" s="161" t="s">
        <v>3394</v>
      </c>
      <c r="G52" t="s">
        <v>2211</v>
      </c>
      <c r="H52" s="1" t="s">
        <v>3393</v>
      </c>
      <c r="I52" t="s">
        <v>2212</v>
      </c>
      <c r="K52" t="s">
        <v>2213</v>
      </c>
      <c r="L52" t="s">
        <v>612</v>
      </c>
      <c r="M52" t="s">
        <v>613</v>
      </c>
      <c r="N52" t="s">
        <v>648</v>
      </c>
    </row>
    <row r="53" spans="1:15" x14ac:dyDescent="0.25">
      <c r="A53" t="s">
        <v>2227</v>
      </c>
      <c r="B53" t="s">
        <v>2228</v>
      </c>
      <c r="C53" t="s">
        <v>2227</v>
      </c>
      <c r="F53" s="161" t="s">
        <v>3394</v>
      </c>
      <c r="G53" t="s">
        <v>1434</v>
      </c>
      <c r="H53" s="1" t="s">
        <v>3393</v>
      </c>
      <c r="I53" t="s">
        <v>2229</v>
      </c>
      <c r="K53" t="s">
        <v>2230</v>
      </c>
      <c r="L53" t="s">
        <v>612</v>
      </c>
      <c r="M53" t="s">
        <v>613</v>
      </c>
      <c r="N53" t="s">
        <v>648</v>
      </c>
    </row>
    <row r="54" spans="1:15" x14ac:dyDescent="0.25">
      <c r="A54" t="s">
        <v>2269</v>
      </c>
      <c r="B54" t="s">
        <v>2270</v>
      </c>
      <c r="C54" t="s">
        <v>2269</v>
      </c>
      <c r="F54" s="161" t="s">
        <v>3394</v>
      </c>
      <c r="G54" t="s">
        <v>173</v>
      </c>
      <c r="H54" s="1" t="s">
        <v>3393</v>
      </c>
      <c r="I54" t="s">
        <v>2271</v>
      </c>
      <c r="K54" t="s">
        <v>2272</v>
      </c>
      <c r="L54" t="s">
        <v>612</v>
      </c>
      <c r="M54" t="s">
        <v>613</v>
      </c>
      <c r="N54" t="s">
        <v>628</v>
      </c>
    </row>
    <row r="55" spans="1:15" x14ac:dyDescent="0.25">
      <c r="A55" t="s">
        <v>2275</v>
      </c>
      <c r="B55" t="s">
        <v>2276</v>
      </c>
      <c r="C55" t="s">
        <v>2275</v>
      </c>
      <c r="F55" s="161" t="s">
        <v>3394</v>
      </c>
      <c r="G55" t="s">
        <v>989</v>
      </c>
      <c r="H55" s="1" t="s">
        <v>3393</v>
      </c>
      <c r="I55" t="s">
        <v>791</v>
      </c>
      <c r="K55" t="s">
        <v>2277</v>
      </c>
      <c r="L55" t="s">
        <v>612</v>
      </c>
      <c r="M55" t="s">
        <v>613</v>
      </c>
      <c r="N55" t="s">
        <v>648</v>
      </c>
    </row>
    <row r="56" spans="1:15" x14ac:dyDescent="0.25">
      <c r="A56" t="s">
        <v>2326</v>
      </c>
      <c r="B56" t="s">
        <v>2327</v>
      </c>
      <c r="C56" t="s">
        <v>2326</v>
      </c>
      <c r="F56" s="161" t="s">
        <v>3394</v>
      </c>
      <c r="G56" t="s">
        <v>1820</v>
      </c>
      <c r="H56" s="1" t="s">
        <v>3393</v>
      </c>
      <c r="I56" t="s">
        <v>2328</v>
      </c>
      <c r="K56" t="s">
        <v>2329</v>
      </c>
      <c r="L56" t="s">
        <v>612</v>
      </c>
      <c r="M56" t="s">
        <v>613</v>
      </c>
      <c r="N56" t="s">
        <v>648</v>
      </c>
    </row>
    <row r="57" spans="1:15" x14ac:dyDescent="0.25">
      <c r="A57" t="s">
        <v>2330</v>
      </c>
      <c r="B57" t="s">
        <v>2331</v>
      </c>
      <c r="C57" t="s">
        <v>2330</v>
      </c>
      <c r="F57" s="161" t="s">
        <v>3394</v>
      </c>
      <c r="G57" t="s">
        <v>173</v>
      </c>
      <c r="H57" s="1" t="s">
        <v>3393</v>
      </c>
      <c r="I57" t="s">
        <v>2332</v>
      </c>
      <c r="K57" t="s">
        <v>2333</v>
      </c>
      <c r="L57" t="s">
        <v>612</v>
      </c>
      <c r="M57" t="s">
        <v>613</v>
      </c>
      <c r="N57" t="s">
        <v>628</v>
      </c>
    </row>
    <row r="58" spans="1:15" x14ac:dyDescent="0.25">
      <c r="A58" t="s">
        <v>63</v>
      </c>
      <c r="B58" t="s">
        <v>2343</v>
      </c>
      <c r="C58" t="s">
        <v>63</v>
      </c>
      <c r="D58" t="s">
        <v>64</v>
      </c>
      <c r="E58" t="s">
        <v>15</v>
      </c>
      <c r="F58" s="161" t="s">
        <v>3394</v>
      </c>
      <c r="G58" t="s">
        <v>2344</v>
      </c>
      <c r="H58" s="1" t="s">
        <v>3393</v>
      </c>
      <c r="I58" t="s">
        <v>1041</v>
      </c>
      <c r="K58" t="s">
        <v>2345</v>
      </c>
      <c r="L58" t="s">
        <v>612</v>
      </c>
      <c r="M58" t="s">
        <v>613</v>
      </c>
      <c r="N58" t="s">
        <v>648</v>
      </c>
      <c r="O58" s="155">
        <v>0</v>
      </c>
    </row>
    <row r="59" spans="1:15" x14ac:dyDescent="0.25">
      <c r="A59" t="s">
        <v>314</v>
      </c>
      <c r="B59" t="s">
        <v>2387</v>
      </c>
      <c r="C59" t="s">
        <v>314</v>
      </c>
      <c r="D59" t="s">
        <v>64</v>
      </c>
      <c r="E59" t="s">
        <v>19</v>
      </c>
      <c r="F59" s="161" t="s">
        <v>3394</v>
      </c>
      <c r="G59" t="s">
        <v>918</v>
      </c>
      <c r="H59" s="1" t="s">
        <v>3393</v>
      </c>
      <c r="I59" t="s">
        <v>2388</v>
      </c>
      <c r="L59" t="s">
        <v>612</v>
      </c>
      <c r="M59" t="s">
        <v>613</v>
      </c>
      <c r="N59" t="s">
        <v>648</v>
      </c>
      <c r="O59" s="155">
        <v>46024</v>
      </c>
    </row>
    <row r="60" spans="1:15" x14ac:dyDescent="0.25">
      <c r="A60" t="s">
        <v>279</v>
      </c>
      <c r="B60" t="s">
        <v>2402</v>
      </c>
      <c r="C60" t="s">
        <v>279</v>
      </c>
      <c r="D60" t="s">
        <v>280</v>
      </c>
      <c r="E60" t="s">
        <v>19</v>
      </c>
      <c r="F60" s="161" t="s">
        <v>3394</v>
      </c>
      <c r="G60" t="s">
        <v>2403</v>
      </c>
      <c r="H60" s="1" t="s">
        <v>3393</v>
      </c>
      <c r="I60" t="s">
        <v>2404</v>
      </c>
      <c r="K60" t="s">
        <v>2405</v>
      </c>
      <c r="L60" t="s">
        <v>612</v>
      </c>
      <c r="M60" t="s">
        <v>613</v>
      </c>
      <c r="N60" t="s">
        <v>648</v>
      </c>
      <c r="O60" s="155">
        <v>43550</v>
      </c>
    </row>
    <row r="61" spans="1:15" x14ac:dyDescent="0.25">
      <c r="A61" t="s">
        <v>2492</v>
      </c>
      <c r="B61" t="s">
        <v>2493</v>
      </c>
      <c r="C61" t="s">
        <v>2492</v>
      </c>
      <c r="F61" s="161" t="s">
        <v>3394</v>
      </c>
      <c r="G61" t="s">
        <v>1434</v>
      </c>
      <c r="H61" s="1" t="s">
        <v>3393</v>
      </c>
      <c r="I61" t="s">
        <v>2038</v>
      </c>
      <c r="L61" t="s">
        <v>612</v>
      </c>
      <c r="M61" t="s">
        <v>613</v>
      </c>
      <c r="N61" t="s">
        <v>628</v>
      </c>
    </row>
    <row r="62" spans="1:15" x14ac:dyDescent="0.25">
      <c r="A62" t="s">
        <v>2506</v>
      </c>
      <c r="B62" t="s">
        <v>2507</v>
      </c>
      <c r="C62" t="s">
        <v>2506</v>
      </c>
      <c r="F62" s="161" t="s">
        <v>3394</v>
      </c>
      <c r="G62" t="s">
        <v>1434</v>
      </c>
      <c r="H62" s="1" t="s">
        <v>3393</v>
      </c>
      <c r="I62" t="s">
        <v>2508</v>
      </c>
      <c r="K62" t="s">
        <v>2509</v>
      </c>
      <c r="L62" t="s">
        <v>612</v>
      </c>
      <c r="M62" t="s">
        <v>613</v>
      </c>
      <c r="N62" t="s">
        <v>648</v>
      </c>
    </row>
    <row r="63" spans="1:15" x14ac:dyDescent="0.25">
      <c r="A63" t="s">
        <v>2532</v>
      </c>
      <c r="B63" t="s">
        <v>2533</v>
      </c>
      <c r="C63" t="s">
        <v>2532</v>
      </c>
      <c r="F63" s="161" t="s">
        <v>3394</v>
      </c>
      <c r="G63" t="s">
        <v>673</v>
      </c>
      <c r="H63" s="1" t="s">
        <v>3393</v>
      </c>
      <c r="I63" t="s">
        <v>2534</v>
      </c>
      <c r="K63" t="s">
        <v>2535</v>
      </c>
      <c r="L63" t="s">
        <v>612</v>
      </c>
      <c r="M63" t="s">
        <v>613</v>
      </c>
      <c r="N63" t="s">
        <v>648</v>
      </c>
    </row>
    <row r="64" spans="1:15" x14ac:dyDescent="0.25">
      <c r="A64" t="s">
        <v>332</v>
      </c>
      <c r="B64" t="s">
        <v>2536</v>
      </c>
      <c r="C64" t="s">
        <v>332</v>
      </c>
      <c r="D64" t="s">
        <v>333</v>
      </c>
      <c r="E64" t="s">
        <v>15</v>
      </c>
      <c r="F64" s="161" t="s">
        <v>3394</v>
      </c>
      <c r="G64" t="s">
        <v>1903</v>
      </c>
      <c r="H64" s="1" t="s">
        <v>3393</v>
      </c>
      <c r="I64" t="s">
        <v>2537</v>
      </c>
      <c r="L64" t="s">
        <v>612</v>
      </c>
      <c r="M64" t="s">
        <v>613</v>
      </c>
      <c r="N64" t="s">
        <v>648</v>
      </c>
      <c r="O64" s="155">
        <v>45895</v>
      </c>
    </row>
    <row r="65" spans="1:15" x14ac:dyDescent="0.25">
      <c r="A65" t="s">
        <v>207</v>
      </c>
      <c r="B65" t="s">
        <v>2554</v>
      </c>
      <c r="C65" t="s">
        <v>207</v>
      </c>
      <c r="D65" t="s">
        <v>64</v>
      </c>
      <c r="E65" t="s">
        <v>15</v>
      </c>
      <c r="F65" s="161" t="s">
        <v>3394</v>
      </c>
      <c r="G65" t="s">
        <v>673</v>
      </c>
      <c r="H65" s="1" t="s">
        <v>3393</v>
      </c>
      <c r="I65" t="s">
        <v>2555</v>
      </c>
      <c r="L65" t="s">
        <v>612</v>
      </c>
      <c r="M65" t="s">
        <v>613</v>
      </c>
      <c r="N65" t="s">
        <v>648</v>
      </c>
      <c r="O65" s="155">
        <v>46001</v>
      </c>
    </row>
    <row r="66" spans="1:15" x14ac:dyDescent="0.25">
      <c r="A66" t="s">
        <v>2616</v>
      </c>
      <c r="B66" t="s">
        <v>2617</v>
      </c>
      <c r="C66" t="s">
        <v>2616</v>
      </c>
      <c r="F66" s="161" t="s">
        <v>3394</v>
      </c>
      <c r="G66" t="s">
        <v>2132</v>
      </c>
      <c r="H66" s="1" t="s">
        <v>3393</v>
      </c>
      <c r="I66" t="s">
        <v>2151</v>
      </c>
      <c r="K66" t="s">
        <v>2618</v>
      </c>
      <c r="L66" t="s">
        <v>612</v>
      </c>
      <c r="M66" t="s">
        <v>613</v>
      </c>
      <c r="N66" t="s">
        <v>648</v>
      </c>
    </row>
    <row r="67" spans="1:15" x14ac:dyDescent="0.25">
      <c r="A67" t="s">
        <v>2651</v>
      </c>
      <c r="B67" t="s">
        <v>2652</v>
      </c>
      <c r="C67" t="s">
        <v>2651</v>
      </c>
      <c r="F67" s="161" t="s">
        <v>3394</v>
      </c>
      <c r="G67" t="s">
        <v>673</v>
      </c>
      <c r="H67" s="1" t="s">
        <v>3393</v>
      </c>
      <c r="I67" t="s">
        <v>2653</v>
      </c>
      <c r="K67" t="s">
        <v>2654</v>
      </c>
      <c r="L67" t="s">
        <v>612</v>
      </c>
      <c r="M67" t="s">
        <v>613</v>
      </c>
      <c r="N67" t="s">
        <v>648</v>
      </c>
    </row>
    <row r="68" spans="1:15" x14ac:dyDescent="0.25">
      <c r="A68" t="s">
        <v>2657</v>
      </c>
      <c r="B68" t="s">
        <v>2658</v>
      </c>
      <c r="C68" t="s">
        <v>2657</v>
      </c>
      <c r="F68" s="161" t="s">
        <v>3394</v>
      </c>
      <c r="G68" t="s">
        <v>1434</v>
      </c>
      <c r="H68" s="1" t="s">
        <v>3393</v>
      </c>
      <c r="I68" t="s">
        <v>2659</v>
      </c>
      <c r="L68" t="s">
        <v>612</v>
      </c>
      <c r="M68" t="s">
        <v>613</v>
      </c>
      <c r="N68" t="s">
        <v>628</v>
      </c>
    </row>
    <row r="69" spans="1:15" x14ac:dyDescent="0.25">
      <c r="A69" t="s">
        <v>2699</v>
      </c>
      <c r="B69" t="s">
        <v>2700</v>
      </c>
      <c r="C69" t="s">
        <v>2699</v>
      </c>
      <c r="F69" s="161" t="s">
        <v>3394</v>
      </c>
      <c r="G69" t="s">
        <v>1102</v>
      </c>
      <c r="H69" s="1" t="s">
        <v>3393</v>
      </c>
      <c r="I69" t="s">
        <v>2701</v>
      </c>
      <c r="K69" t="s">
        <v>2702</v>
      </c>
      <c r="L69" t="s">
        <v>612</v>
      </c>
      <c r="M69" t="s">
        <v>613</v>
      </c>
      <c r="N69" t="s">
        <v>648</v>
      </c>
    </row>
    <row r="70" spans="1:15" x14ac:dyDescent="0.25">
      <c r="A70" t="s">
        <v>189</v>
      </c>
      <c r="B70" t="s">
        <v>2709</v>
      </c>
      <c r="C70" t="s">
        <v>189</v>
      </c>
      <c r="D70" t="s">
        <v>64</v>
      </c>
      <c r="E70" t="s">
        <v>15</v>
      </c>
      <c r="F70" s="161" t="s">
        <v>3394</v>
      </c>
      <c r="G70" t="s">
        <v>673</v>
      </c>
      <c r="H70" s="1" t="s">
        <v>3393</v>
      </c>
      <c r="I70" t="s">
        <v>2710</v>
      </c>
      <c r="K70" t="s">
        <v>2711</v>
      </c>
      <c r="L70" t="s">
        <v>612</v>
      </c>
      <c r="M70" t="s">
        <v>613</v>
      </c>
      <c r="N70" t="s">
        <v>648</v>
      </c>
      <c r="O70" s="155">
        <v>45437</v>
      </c>
    </row>
    <row r="71" spans="1:15" x14ac:dyDescent="0.25">
      <c r="A71" t="s">
        <v>171</v>
      </c>
      <c r="B71" t="s">
        <v>2716</v>
      </c>
      <c r="C71" t="s">
        <v>171</v>
      </c>
      <c r="D71" t="s">
        <v>64</v>
      </c>
      <c r="E71" t="s">
        <v>19</v>
      </c>
      <c r="F71" s="161" t="s">
        <v>3394</v>
      </c>
      <c r="G71" t="s">
        <v>173</v>
      </c>
      <c r="H71" s="1" t="s">
        <v>3393</v>
      </c>
      <c r="I71" t="s">
        <v>929</v>
      </c>
      <c r="L71" t="s">
        <v>612</v>
      </c>
      <c r="M71" t="s">
        <v>613</v>
      </c>
      <c r="N71" t="s">
        <v>628</v>
      </c>
      <c r="O71" s="155">
        <v>46105</v>
      </c>
    </row>
    <row r="72" spans="1:15" x14ac:dyDescent="0.25">
      <c r="A72" t="s">
        <v>190</v>
      </c>
      <c r="B72" t="s">
        <v>2759</v>
      </c>
      <c r="C72" t="s">
        <v>190</v>
      </c>
      <c r="D72" t="s">
        <v>64</v>
      </c>
      <c r="E72" t="s">
        <v>15</v>
      </c>
      <c r="F72" s="161" t="s">
        <v>3394</v>
      </c>
      <c r="G72" t="s">
        <v>673</v>
      </c>
      <c r="H72" s="1" t="s">
        <v>3393</v>
      </c>
      <c r="I72" t="s">
        <v>2760</v>
      </c>
      <c r="L72" t="s">
        <v>612</v>
      </c>
      <c r="M72" t="s">
        <v>613</v>
      </c>
      <c r="N72" t="s">
        <v>648</v>
      </c>
      <c r="O72" s="155">
        <v>45521</v>
      </c>
    </row>
    <row r="73" spans="1:15" x14ac:dyDescent="0.25">
      <c r="A73" t="s">
        <v>2853</v>
      </c>
      <c r="B73" t="s">
        <v>2854</v>
      </c>
      <c r="C73" t="s">
        <v>2853</v>
      </c>
      <c r="F73" s="161" t="s">
        <v>3394</v>
      </c>
      <c r="G73" t="s">
        <v>673</v>
      </c>
      <c r="H73" s="1" t="s">
        <v>3393</v>
      </c>
      <c r="I73" t="s">
        <v>1153</v>
      </c>
      <c r="K73" t="s">
        <v>2855</v>
      </c>
      <c r="L73" t="s">
        <v>612</v>
      </c>
      <c r="M73" t="s">
        <v>613</v>
      </c>
      <c r="N73" t="s">
        <v>648</v>
      </c>
    </row>
    <row r="74" spans="1:15" x14ac:dyDescent="0.25">
      <c r="A74" t="s">
        <v>342</v>
      </c>
      <c r="B74" t="s">
        <v>2870</v>
      </c>
      <c r="C74" t="s">
        <v>342</v>
      </c>
      <c r="D74" t="s">
        <v>64</v>
      </c>
      <c r="E74" t="s">
        <v>15</v>
      </c>
      <c r="F74" s="161" t="s">
        <v>3394</v>
      </c>
      <c r="G74" t="s">
        <v>2871</v>
      </c>
      <c r="H74" s="1" t="s">
        <v>3393</v>
      </c>
      <c r="I74" t="s">
        <v>1113</v>
      </c>
      <c r="K74" t="s">
        <v>2872</v>
      </c>
      <c r="L74" t="s">
        <v>612</v>
      </c>
      <c r="M74" t="s">
        <v>613</v>
      </c>
      <c r="N74" t="s">
        <v>648</v>
      </c>
      <c r="O74" s="155">
        <v>45008</v>
      </c>
    </row>
    <row r="75" spans="1:15" x14ac:dyDescent="0.25">
      <c r="A75" t="s">
        <v>2889</v>
      </c>
      <c r="B75" t="s">
        <v>2890</v>
      </c>
      <c r="C75" t="s">
        <v>2889</v>
      </c>
      <c r="F75" s="161" t="s">
        <v>3394</v>
      </c>
      <c r="G75" t="s">
        <v>173</v>
      </c>
      <c r="H75" s="1" t="s">
        <v>3393</v>
      </c>
      <c r="I75" t="s">
        <v>2540</v>
      </c>
      <c r="L75" t="s">
        <v>612</v>
      </c>
      <c r="M75" t="s">
        <v>613</v>
      </c>
      <c r="N75" t="s">
        <v>628</v>
      </c>
    </row>
    <row r="76" spans="1:15" x14ac:dyDescent="0.25">
      <c r="A76" t="s">
        <v>2892</v>
      </c>
      <c r="B76" t="s">
        <v>2893</v>
      </c>
      <c r="C76" t="s">
        <v>2892</v>
      </c>
      <c r="F76" s="161" t="s">
        <v>3394</v>
      </c>
      <c r="G76" t="s">
        <v>673</v>
      </c>
      <c r="H76" s="1" t="s">
        <v>3393</v>
      </c>
      <c r="I76" t="s">
        <v>2894</v>
      </c>
      <c r="K76" t="s">
        <v>2895</v>
      </c>
      <c r="L76" t="s">
        <v>612</v>
      </c>
      <c r="M76" t="s">
        <v>613</v>
      </c>
      <c r="N76" t="s">
        <v>648</v>
      </c>
    </row>
    <row r="77" spans="1:15" x14ac:dyDescent="0.25">
      <c r="A77" t="s">
        <v>2912</v>
      </c>
      <c r="B77" t="s">
        <v>2913</v>
      </c>
      <c r="C77" t="s">
        <v>2912</v>
      </c>
      <c r="F77" s="161" t="s">
        <v>3394</v>
      </c>
      <c r="G77" t="s">
        <v>1434</v>
      </c>
      <c r="H77" s="1" t="s">
        <v>3393</v>
      </c>
      <c r="I77" t="s">
        <v>2914</v>
      </c>
      <c r="K77" t="s">
        <v>2915</v>
      </c>
      <c r="L77" t="s">
        <v>612</v>
      </c>
      <c r="M77" t="s">
        <v>613</v>
      </c>
      <c r="N77" t="s">
        <v>648</v>
      </c>
    </row>
    <row r="78" spans="1:15" x14ac:dyDescent="0.25">
      <c r="A78" t="s">
        <v>2928</v>
      </c>
      <c r="B78" t="s">
        <v>2929</v>
      </c>
      <c r="C78" t="s">
        <v>2928</v>
      </c>
      <c r="F78" s="161" t="s">
        <v>3394</v>
      </c>
      <c r="G78" t="s">
        <v>1434</v>
      </c>
      <c r="H78" s="1" t="s">
        <v>3393</v>
      </c>
      <c r="I78" t="s">
        <v>2165</v>
      </c>
      <c r="L78" t="s">
        <v>612</v>
      </c>
      <c r="M78" t="s">
        <v>613</v>
      </c>
      <c r="N78" t="s">
        <v>628</v>
      </c>
    </row>
    <row r="79" spans="1:15" x14ac:dyDescent="0.25">
      <c r="A79" t="s">
        <v>2942</v>
      </c>
      <c r="B79" t="s">
        <v>2943</v>
      </c>
      <c r="C79" t="s">
        <v>2942</v>
      </c>
      <c r="F79" s="161" t="s">
        <v>3394</v>
      </c>
      <c r="G79" t="s">
        <v>610</v>
      </c>
      <c r="H79" s="1" t="s">
        <v>3393</v>
      </c>
      <c r="I79" t="s">
        <v>2944</v>
      </c>
      <c r="K79" t="s">
        <v>2945</v>
      </c>
      <c r="L79" t="s">
        <v>612</v>
      </c>
      <c r="M79" t="s">
        <v>613</v>
      </c>
      <c r="N79" t="s">
        <v>648</v>
      </c>
    </row>
    <row r="80" spans="1:15" x14ac:dyDescent="0.25">
      <c r="A80" t="s">
        <v>2965</v>
      </c>
      <c r="B80" t="s">
        <v>2966</v>
      </c>
      <c r="C80" t="s">
        <v>2965</v>
      </c>
      <c r="F80" s="161" t="s">
        <v>3394</v>
      </c>
      <c r="G80" t="s">
        <v>173</v>
      </c>
      <c r="H80" s="1" t="s">
        <v>3393</v>
      </c>
      <c r="I80" t="s">
        <v>2967</v>
      </c>
      <c r="K80" t="s">
        <v>2968</v>
      </c>
      <c r="L80" t="s">
        <v>612</v>
      </c>
      <c r="M80" t="s">
        <v>613</v>
      </c>
      <c r="N80" t="s">
        <v>628</v>
      </c>
    </row>
    <row r="81" spans="1:15" x14ac:dyDescent="0.25">
      <c r="A81" t="s">
        <v>2969</v>
      </c>
      <c r="B81" t="s">
        <v>2970</v>
      </c>
      <c r="C81" t="s">
        <v>2969</v>
      </c>
      <c r="F81" s="161" t="s">
        <v>3394</v>
      </c>
      <c r="G81" t="s">
        <v>2971</v>
      </c>
      <c r="H81" s="1" t="s">
        <v>3393</v>
      </c>
      <c r="I81" t="s">
        <v>2972</v>
      </c>
      <c r="K81" t="s">
        <v>2973</v>
      </c>
      <c r="L81" t="s">
        <v>612</v>
      </c>
      <c r="M81" t="s">
        <v>613</v>
      </c>
      <c r="N81" t="s">
        <v>648</v>
      </c>
    </row>
    <row r="82" spans="1:15" x14ac:dyDescent="0.25">
      <c r="A82" t="s">
        <v>2981</v>
      </c>
      <c r="B82" t="s">
        <v>2982</v>
      </c>
      <c r="C82" t="s">
        <v>2981</v>
      </c>
      <c r="F82" s="161" t="s">
        <v>3394</v>
      </c>
      <c r="G82" t="s">
        <v>2561</v>
      </c>
      <c r="H82" s="1" t="s">
        <v>3393</v>
      </c>
      <c r="I82" t="s">
        <v>1041</v>
      </c>
      <c r="K82" t="s">
        <v>2983</v>
      </c>
      <c r="L82" t="s">
        <v>612</v>
      </c>
      <c r="M82" t="s">
        <v>613</v>
      </c>
      <c r="N82" t="s">
        <v>648</v>
      </c>
    </row>
    <row r="83" spans="1:15" x14ac:dyDescent="0.25">
      <c r="A83" t="s">
        <v>3017</v>
      </c>
      <c r="B83" t="s">
        <v>3018</v>
      </c>
      <c r="C83" t="s">
        <v>3017</v>
      </c>
      <c r="F83" s="161" t="s">
        <v>3394</v>
      </c>
      <c r="G83" t="s">
        <v>1820</v>
      </c>
      <c r="H83" s="1" t="s">
        <v>3393</v>
      </c>
      <c r="I83" t="s">
        <v>877</v>
      </c>
      <c r="K83" t="s">
        <v>3019</v>
      </c>
      <c r="L83" t="s">
        <v>612</v>
      </c>
      <c r="M83" t="s">
        <v>613</v>
      </c>
      <c r="N83" t="s">
        <v>648</v>
      </c>
    </row>
    <row r="84" spans="1:15" x14ac:dyDescent="0.25">
      <c r="A84" t="s">
        <v>3041</v>
      </c>
      <c r="B84" t="s">
        <v>3042</v>
      </c>
      <c r="C84" t="s">
        <v>3041</v>
      </c>
      <c r="F84" s="161" t="s">
        <v>3394</v>
      </c>
      <c r="G84" t="s">
        <v>1434</v>
      </c>
      <c r="H84" s="1" t="s">
        <v>3393</v>
      </c>
      <c r="I84" t="s">
        <v>3043</v>
      </c>
      <c r="L84" t="s">
        <v>612</v>
      </c>
      <c r="M84" t="s">
        <v>613</v>
      </c>
      <c r="N84" t="s">
        <v>628</v>
      </c>
    </row>
    <row r="85" spans="1:15" x14ac:dyDescent="0.25">
      <c r="A85" t="s">
        <v>3061</v>
      </c>
      <c r="B85" t="s">
        <v>3062</v>
      </c>
      <c r="C85" t="s">
        <v>3061</v>
      </c>
      <c r="F85" s="161" t="s">
        <v>3394</v>
      </c>
      <c r="G85" t="s">
        <v>645</v>
      </c>
      <c r="H85" s="1" t="s">
        <v>3393</v>
      </c>
      <c r="I85" t="s">
        <v>734</v>
      </c>
      <c r="L85" t="s">
        <v>612</v>
      </c>
      <c r="M85" t="s">
        <v>613</v>
      </c>
      <c r="N85" t="s">
        <v>648</v>
      </c>
    </row>
    <row r="86" spans="1:15" x14ac:dyDescent="0.25">
      <c r="A86" t="s">
        <v>149</v>
      </c>
      <c r="B86" t="s">
        <v>3084</v>
      </c>
      <c r="C86" t="s">
        <v>149</v>
      </c>
      <c r="D86" t="s">
        <v>64</v>
      </c>
      <c r="E86" t="s">
        <v>15</v>
      </c>
      <c r="F86" s="161" t="s">
        <v>3394</v>
      </c>
      <c r="G86" t="s">
        <v>626</v>
      </c>
      <c r="H86" s="1" t="s">
        <v>3393</v>
      </c>
      <c r="I86" t="s">
        <v>3085</v>
      </c>
      <c r="K86" t="s">
        <v>3086</v>
      </c>
      <c r="L86" t="s">
        <v>612</v>
      </c>
      <c r="M86" t="s">
        <v>613</v>
      </c>
      <c r="N86" t="s">
        <v>628</v>
      </c>
      <c r="O86" s="155">
        <v>45118</v>
      </c>
    </row>
    <row r="87" spans="1:15" x14ac:dyDescent="0.25">
      <c r="A87" t="s">
        <v>3106</v>
      </c>
      <c r="B87" t="s">
        <v>3107</v>
      </c>
      <c r="C87" t="s">
        <v>3106</v>
      </c>
      <c r="F87" s="161" t="s">
        <v>3394</v>
      </c>
      <c r="G87" t="s">
        <v>645</v>
      </c>
      <c r="H87" s="1" t="s">
        <v>3393</v>
      </c>
      <c r="I87" t="s">
        <v>3108</v>
      </c>
      <c r="L87" t="s">
        <v>612</v>
      </c>
      <c r="M87" t="s">
        <v>613</v>
      </c>
      <c r="N87" t="s">
        <v>648</v>
      </c>
    </row>
    <row r="88" spans="1:15" x14ac:dyDescent="0.25">
      <c r="A88" t="s">
        <v>3129</v>
      </c>
      <c r="B88" t="s">
        <v>3130</v>
      </c>
      <c r="C88" t="s">
        <v>3129</v>
      </c>
      <c r="F88" s="161" t="s">
        <v>3394</v>
      </c>
      <c r="G88" t="s">
        <v>1434</v>
      </c>
      <c r="H88" s="1" t="s">
        <v>3393</v>
      </c>
      <c r="I88" t="s">
        <v>3131</v>
      </c>
      <c r="L88" t="s">
        <v>612</v>
      </c>
      <c r="M88" t="s">
        <v>613</v>
      </c>
      <c r="N88" t="s">
        <v>628</v>
      </c>
    </row>
    <row r="89" spans="1:15" x14ac:dyDescent="0.25">
      <c r="A89" t="s">
        <v>3142</v>
      </c>
      <c r="B89" t="s">
        <v>3143</v>
      </c>
      <c r="C89" t="s">
        <v>3142</v>
      </c>
      <c r="F89" s="161" t="s">
        <v>3394</v>
      </c>
      <c r="G89" t="s">
        <v>918</v>
      </c>
      <c r="H89" s="1" t="s">
        <v>3393</v>
      </c>
      <c r="I89" t="s">
        <v>679</v>
      </c>
      <c r="K89" t="s">
        <v>3144</v>
      </c>
      <c r="L89" t="s">
        <v>612</v>
      </c>
      <c r="M89" t="s">
        <v>613</v>
      </c>
      <c r="N89" t="s">
        <v>648</v>
      </c>
    </row>
    <row r="90" spans="1:15" x14ac:dyDescent="0.25">
      <c r="A90" t="s">
        <v>3168</v>
      </c>
      <c r="B90" t="s">
        <v>3169</v>
      </c>
      <c r="C90" t="s">
        <v>3168</v>
      </c>
      <c r="F90" s="161" t="s">
        <v>3394</v>
      </c>
      <c r="G90" t="s">
        <v>1820</v>
      </c>
      <c r="H90" s="1" t="s">
        <v>3393</v>
      </c>
      <c r="I90" t="s">
        <v>3170</v>
      </c>
      <c r="K90" t="s">
        <v>3171</v>
      </c>
      <c r="L90" t="s">
        <v>612</v>
      </c>
      <c r="M90" t="s">
        <v>613</v>
      </c>
      <c r="N90" t="s">
        <v>648</v>
      </c>
    </row>
    <row r="91" spans="1:15" x14ac:dyDescent="0.25">
      <c r="A91" t="s">
        <v>187</v>
      </c>
      <c r="B91" t="s">
        <v>3213</v>
      </c>
      <c r="C91" t="s">
        <v>187</v>
      </c>
      <c r="D91" t="s">
        <v>64</v>
      </c>
      <c r="E91" t="s">
        <v>15</v>
      </c>
      <c r="F91" s="161" t="s">
        <v>3394</v>
      </c>
      <c r="G91" t="s">
        <v>673</v>
      </c>
      <c r="H91" s="1" t="s">
        <v>3393</v>
      </c>
      <c r="I91" t="s">
        <v>3214</v>
      </c>
      <c r="K91" t="s">
        <v>3215</v>
      </c>
      <c r="L91" t="s">
        <v>612</v>
      </c>
      <c r="M91" t="s">
        <v>613</v>
      </c>
      <c r="N91" t="s">
        <v>648</v>
      </c>
      <c r="O91" s="155">
        <v>44259</v>
      </c>
    </row>
    <row r="92" spans="1:15" x14ac:dyDescent="0.25">
      <c r="A92" t="s">
        <v>147</v>
      </c>
      <c r="B92" t="s">
        <v>3278</v>
      </c>
      <c r="C92" t="s">
        <v>147</v>
      </c>
      <c r="D92" t="s">
        <v>64</v>
      </c>
      <c r="E92" t="s">
        <v>15</v>
      </c>
      <c r="F92" s="161" t="s">
        <v>3394</v>
      </c>
      <c r="G92" t="s">
        <v>626</v>
      </c>
      <c r="H92" s="1" t="s">
        <v>3393</v>
      </c>
      <c r="I92" t="s">
        <v>1248</v>
      </c>
      <c r="L92" t="s">
        <v>612</v>
      </c>
      <c r="M92" t="s">
        <v>613</v>
      </c>
      <c r="N92" t="s">
        <v>628</v>
      </c>
      <c r="O92" s="155" t="s">
        <v>148</v>
      </c>
    </row>
    <row r="93" spans="1:15" x14ac:dyDescent="0.25">
      <c r="A93" t="s">
        <v>3327</v>
      </c>
      <c r="B93" t="s">
        <v>3328</v>
      </c>
      <c r="C93" t="s">
        <v>3327</v>
      </c>
      <c r="F93" s="161" t="s">
        <v>3394</v>
      </c>
      <c r="G93" t="s">
        <v>3329</v>
      </c>
      <c r="H93" s="1" t="s">
        <v>3393</v>
      </c>
      <c r="I93" t="s">
        <v>1041</v>
      </c>
      <c r="K93" t="s">
        <v>3330</v>
      </c>
      <c r="L93" t="s">
        <v>612</v>
      </c>
      <c r="M93" t="s">
        <v>613</v>
      </c>
      <c r="N93" t="s">
        <v>648</v>
      </c>
    </row>
    <row r="94" spans="1:15" x14ac:dyDescent="0.25">
      <c r="A94" t="s">
        <v>420</v>
      </c>
      <c r="B94" t="s">
        <v>615</v>
      </c>
      <c r="C94" t="s">
        <v>420</v>
      </c>
      <c r="D94" t="s">
        <v>16</v>
      </c>
      <c r="E94" t="s">
        <v>19</v>
      </c>
      <c r="F94" s="161" t="s">
        <v>3394</v>
      </c>
      <c r="G94" t="s">
        <v>616</v>
      </c>
      <c r="H94" s="1" t="s">
        <v>593</v>
      </c>
      <c r="I94" t="s">
        <v>617</v>
      </c>
      <c r="L94" t="s">
        <v>612</v>
      </c>
      <c r="M94" t="s">
        <v>613</v>
      </c>
      <c r="N94" t="s">
        <v>618</v>
      </c>
      <c r="O94" s="155">
        <v>46083</v>
      </c>
    </row>
    <row r="95" spans="1:15" x14ac:dyDescent="0.25">
      <c r="A95" t="s">
        <v>619</v>
      </c>
      <c r="B95" t="s">
        <v>620</v>
      </c>
      <c r="C95" t="s">
        <v>619</v>
      </c>
      <c r="D95" t="s">
        <v>16</v>
      </c>
      <c r="F95" s="161" t="s">
        <v>3394</v>
      </c>
      <c r="G95" t="s">
        <v>621</v>
      </c>
      <c r="H95" s="1" t="s">
        <v>3393</v>
      </c>
      <c r="I95" t="s">
        <v>622</v>
      </c>
      <c r="K95" t="s">
        <v>623</v>
      </c>
      <c r="L95" t="s">
        <v>612</v>
      </c>
      <c r="M95" t="s">
        <v>613</v>
      </c>
      <c r="N95" t="s">
        <v>618</v>
      </c>
    </row>
    <row r="96" spans="1:15" x14ac:dyDescent="0.25">
      <c r="A96" t="s">
        <v>635</v>
      </c>
      <c r="B96" t="s">
        <v>636</v>
      </c>
      <c r="C96" t="s">
        <v>635</v>
      </c>
      <c r="D96" t="s">
        <v>16</v>
      </c>
      <c r="F96" s="161" t="s">
        <v>3394</v>
      </c>
      <c r="G96" t="s">
        <v>67</v>
      </c>
      <c r="H96" s="1" t="s">
        <v>3393</v>
      </c>
      <c r="I96" t="s">
        <v>637</v>
      </c>
      <c r="K96" t="s">
        <v>638</v>
      </c>
      <c r="L96" t="s">
        <v>612</v>
      </c>
      <c r="M96" t="s">
        <v>613</v>
      </c>
      <c r="N96" t="s">
        <v>618</v>
      </c>
    </row>
    <row r="97" spans="1:15" x14ac:dyDescent="0.25">
      <c r="A97" t="s">
        <v>128</v>
      </c>
      <c r="B97" t="s">
        <v>639</v>
      </c>
      <c r="C97" t="s">
        <v>128</v>
      </c>
      <c r="D97" t="s">
        <v>16</v>
      </c>
      <c r="E97" t="s">
        <v>19</v>
      </c>
      <c r="F97" s="161" t="s">
        <v>3394</v>
      </c>
      <c r="G97" t="s">
        <v>640</v>
      </c>
      <c r="H97" s="1" t="s">
        <v>111</v>
      </c>
      <c r="I97" t="s">
        <v>641</v>
      </c>
      <c r="K97" t="s">
        <v>642</v>
      </c>
      <c r="L97" t="s">
        <v>612</v>
      </c>
      <c r="M97" t="s">
        <v>613</v>
      </c>
      <c r="N97" t="s">
        <v>618</v>
      </c>
      <c r="O97" s="155">
        <v>45757</v>
      </c>
    </row>
    <row r="98" spans="1:15" x14ac:dyDescent="0.25">
      <c r="A98" t="s">
        <v>651</v>
      </c>
      <c r="B98" t="s">
        <v>652</v>
      </c>
      <c r="C98" t="s">
        <v>651</v>
      </c>
      <c r="D98" t="s">
        <v>16</v>
      </c>
      <c r="F98" s="161" t="s">
        <v>3394</v>
      </c>
      <c r="G98" t="s">
        <v>653</v>
      </c>
      <c r="H98" s="1" t="s">
        <v>3393</v>
      </c>
      <c r="I98" t="s">
        <v>654</v>
      </c>
      <c r="L98" t="s">
        <v>612</v>
      </c>
      <c r="M98" t="s">
        <v>613</v>
      </c>
      <c r="N98" t="s">
        <v>655</v>
      </c>
    </row>
    <row r="99" spans="1:15" x14ac:dyDescent="0.25">
      <c r="A99" t="s">
        <v>413</v>
      </c>
      <c r="B99" t="s">
        <v>656</v>
      </c>
      <c r="C99" t="s">
        <v>413</v>
      </c>
      <c r="D99" t="s">
        <v>16</v>
      </c>
      <c r="E99" t="s">
        <v>19</v>
      </c>
      <c r="F99" s="161" t="s">
        <v>3394</v>
      </c>
      <c r="G99" t="s">
        <v>616</v>
      </c>
      <c r="H99" s="1" t="s">
        <v>593</v>
      </c>
      <c r="I99" t="s">
        <v>657</v>
      </c>
      <c r="K99" t="s">
        <v>658</v>
      </c>
      <c r="L99" t="s">
        <v>612</v>
      </c>
      <c r="M99" t="s">
        <v>613</v>
      </c>
      <c r="N99" t="s">
        <v>618</v>
      </c>
      <c r="O99" s="155">
        <v>45151</v>
      </c>
    </row>
    <row r="100" spans="1:15" x14ac:dyDescent="0.25">
      <c r="A100" t="s">
        <v>668</v>
      </c>
      <c r="B100" t="s">
        <v>669</v>
      </c>
      <c r="C100" t="s">
        <v>668</v>
      </c>
      <c r="D100" t="s">
        <v>16</v>
      </c>
      <c r="F100" s="161" t="s">
        <v>3394</v>
      </c>
      <c r="G100" t="s">
        <v>67</v>
      </c>
      <c r="H100" s="1" t="s">
        <v>3393</v>
      </c>
      <c r="I100" t="s">
        <v>670</v>
      </c>
      <c r="K100" t="s">
        <v>671</v>
      </c>
      <c r="L100" t="s">
        <v>612</v>
      </c>
      <c r="M100" t="s">
        <v>613</v>
      </c>
      <c r="N100" t="s">
        <v>655</v>
      </c>
    </row>
    <row r="101" spans="1:15" x14ac:dyDescent="0.25">
      <c r="A101" t="s">
        <v>686</v>
      </c>
      <c r="B101" t="s">
        <v>687</v>
      </c>
      <c r="C101" t="s">
        <v>686</v>
      </c>
      <c r="D101" t="s">
        <v>16</v>
      </c>
      <c r="F101" s="161" t="s">
        <v>3394</v>
      </c>
      <c r="G101" t="s">
        <v>102</v>
      </c>
      <c r="H101" s="1" t="s">
        <v>3393</v>
      </c>
      <c r="I101" t="s">
        <v>688</v>
      </c>
      <c r="K101" t="s">
        <v>689</v>
      </c>
      <c r="L101" t="s">
        <v>612</v>
      </c>
      <c r="M101" t="s">
        <v>613</v>
      </c>
      <c r="N101" t="s">
        <v>655</v>
      </c>
    </row>
    <row r="102" spans="1:15" x14ac:dyDescent="0.25">
      <c r="A102" t="s">
        <v>452</v>
      </c>
      <c r="B102" t="s">
        <v>694</v>
      </c>
      <c r="C102" t="s">
        <v>452</v>
      </c>
      <c r="D102" t="s">
        <v>16</v>
      </c>
      <c r="E102" t="s">
        <v>15</v>
      </c>
      <c r="F102" s="161" t="s">
        <v>3394</v>
      </c>
      <c r="G102" t="s">
        <v>695</v>
      </c>
      <c r="H102" s="1" t="s">
        <v>594</v>
      </c>
      <c r="I102" t="s">
        <v>696</v>
      </c>
      <c r="K102" t="s">
        <v>697</v>
      </c>
      <c r="L102" t="s">
        <v>612</v>
      </c>
      <c r="M102" t="s">
        <v>613</v>
      </c>
      <c r="N102" t="s">
        <v>618</v>
      </c>
      <c r="O102" s="155">
        <v>45151</v>
      </c>
    </row>
    <row r="103" spans="1:15" x14ac:dyDescent="0.25">
      <c r="A103" t="s">
        <v>698</v>
      </c>
      <c r="B103" t="s">
        <v>699</v>
      </c>
      <c r="C103" t="s">
        <v>698</v>
      </c>
      <c r="D103" t="s">
        <v>16</v>
      </c>
      <c r="F103" s="161" t="s">
        <v>3394</v>
      </c>
      <c r="G103" t="s">
        <v>700</v>
      </c>
      <c r="H103" s="1" t="s">
        <v>3393</v>
      </c>
      <c r="I103" t="s">
        <v>701</v>
      </c>
      <c r="L103" t="s">
        <v>612</v>
      </c>
      <c r="M103" t="s">
        <v>613</v>
      </c>
      <c r="N103" t="s">
        <v>618</v>
      </c>
    </row>
    <row r="104" spans="1:15" x14ac:dyDescent="0.25">
      <c r="A104" t="s">
        <v>544</v>
      </c>
      <c r="B104" t="s">
        <v>702</v>
      </c>
      <c r="C104" t="s">
        <v>544</v>
      </c>
      <c r="D104" t="s">
        <v>16</v>
      </c>
      <c r="E104" t="s">
        <v>15</v>
      </c>
      <c r="F104" s="161" t="s">
        <v>3394</v>
      </c>
      <c r="G104" t="s">
        <v>703</v>
      </c>
      <c r="H104" s="1" t="s">
        <v>3393</v>
      </c>
      <c r="I104" t="s">
        <v>704</v>
      </c>
      <c r="L104" t="s">
        <v>612</v>
      </c>
      <c r="M104" t="s">
        <v>613</v>
      </c>
      <c r="N104" t="s">
        <v>618</v>
      </c>
      <c r="O104" s="155">
        <v>46169</v>
      </c>
    </row>
    <row r="105" spans="1:15" x14ac:dyDescent="0.25">
      <c r="A105" t="s">
        <v>507</v>
      </c>
      <c r="B105" t="s">
        <v>705</v>
      </c>
      <c r="C105" t="s">
        <v>507</v>
      </c>
      <c r="D105" t="s">
        <v>16</v>
      </c>
      <c r="E105" t="s">
        <v>15</v>
      </c>
      <c r="F105" s="161" t="s">
        <v>3394</v>
      </c>
      <c r="G105" t="s">
        <v>616</v>
      </c>
      <c r="H105" s="1" t="s">
        <v>593</v>
      </c>
      <c r="I105" t="s">
        <v>706</v>
      </c>
      <c r="K105" t="s">
        <v>707</v>
      </c>
      <c r="L105" t="s">
        <v>612</v>
      </c>
      <c r="M105" t="s">
        <v>613</v>
      </c>
      <c r="N105" t="s">
        <v>618</v>
      </c>
      <c r="O105" s="155">
        <v>45151</v>
      </c>
    </row>
    <row r="106" spans="1:15" x14ac:dyDescent="0.25">
      <c r="A106" t="s">
        <v>708</v>
      </c>
      <c r="B106" t="s">
        <v>709</v>
      </c>
      <c r="C106" t="s">
        <v>708</v>
      </c>
      <c r="D106" t="s">
        <v>16</v>
      </c>
      <c r="F106" s="161" t="s">
        <v>3394</v>
      </c>
      <c r="G106" t="s">
        <v>703</v>
      </c>
      <c r="H106" s="1" t="s">
        <v>3393</v>
      </c>
      <c r="I106" t="s">
        <v>710</v>
      </c>
      <c r="L106" t="s">
        <v>612</v>
      </c>
      <c r="M106" t="s">
        <v>613</v>
      </c>
      <c r="N106" t="s">
        <v>618</v>
      </c>
    </row>
    <row r="107" spans="1:15" x14ac:dyDescent="0.25">
      <c r="A107" t="s">
        <v>135</v>
      </c>
      <c r="B107" t="s">
        <v>715</v>
      </c>
      <c r="C107" t="s">
        <v>135</v>
      </c>
      <c r="D107" t="s">
        <v>16</v>
      </c>
      <c r="E107" t="s">
        <v>15</v>
      </c>
      <c r="F107" s="161" t="s">
        <v>3394</v>
      </c>
      <c r="G107" t="s">
        <v>716</v>
      </c>
      <c r="H107" s="1" t="s">
        <v>3393</v>
      </c>
      <c r="I107" t="s">
        <v>717</v>
      </c>
      <c r="K107" t="s">
        <v>718</v>
      </c>
      <c r="L107" t="s">
        <v>612</v>
      </c>
      <c r="M107" t="s">
        <v>613</v>
      </c>
      <c r="N107" t="s">
        <v>655</v>
      </c>
      <c r="O107" s="155">
        <v>45731</v>
      </c>
    </row>
    <row r="108" spans="1:15" x14ac:dyDescent="0.25">
      <c r="A108" t="s">
        <v>719</v>
      </c>
      <c r="B108" t="s">
        <v>720</v>
      </c>
      <c r="C108" t="s">
        <v>719</v>
      </c>
      <c r="D108" t="s">
        <v>16</v>
      </c>
      <c r="F108" s="161" t="s">
        <v>3394</v>
      </c>
      <c r="G108" t="s">
        <v>700</v>
      </c>
      <c r="H108" s="1" t="s">
        <v>3393</v>
      </c>
      <c r="I108" t="s">
        <v>721</v>
      </c>
      <c r="L108" t="s">
        <v>612</v>
      </c>
      <c r="M108" t="s">
        <v>613</v>
      </c>
      <c r="N108" t="s">
        <v>618</v>
      </c>
    </row>
    <row r="109" spans="1:15" x14ac:dyDescent="0.25">
      <c r="A109" t="s">
        <v>722</v>
      </c>
      <c r="B109" t="s">
        <v>723</v>
      </c>
      <c r="C109" t="s">
        <v>722</v>
      </c>
      <c r="D109" t="s">
        <v>16</v>
      </c>
      <c r="F109" s="161" t="s">
        <v>3394</v>
      </c>
      <c r="G109" t="s">
        <v>168</v>
      </c>
      <c r="H109" s="1" t="s">
        <v>3393</v>
      </c>
      <c r="I109" t="s">
        <v>724</v>
      </c>
      <c r="K109" t="s">
        <v>725</v>
      </c>
      <c r="L109" t="s">
        <v>612</v>
      </c>
      <c r="M109" t="s">
        <v>613</v>
      </c>
      <c r="N109" t="s">
        <v>655</v>
      </c>
    </row>
    <row r="110" spans="1:15" x14ac:dyDescent="0.25">
      <c r="A110" t="s">
        <v>726</v>
      </c>
      <c r="B110" t="s">
        <v>727</v>
      </c>
      <c r="C110" t="s">
        <v>726</v>
      </c>
      <c r="D110" t="s">
        <v>16</v>
      </c>
      <c r="F110" s="161" t="s">
        <v>3394</v>
      </c>
      <c r="G110" t="s">
        <v>616</v>
      </c>
      <c r="H110" s="1" t="s">
        <v>3393</v>
      </c>
      <c r="I110" t="s">
        <v>728</v>
      </c>
      <c r="L110" t="s">
        <v>612</v>
      </c>
      <c r="M110" t="s">
        <v>613</v>
      </c>
      <c r="N110" t="s">
        <v>618</v>
      </c>
    </row>
    <row r="111" spans="1:15" x14ac:dyDescent="0.25">
      <c r="A111" t="s">
        <v>729</v>
      </c>
      <c r="B111" t="s">
        <v>730</v>
      </c>
      <c r="C111" t="s">
        <v>729</v>
      </c>
      <c r="D111" t="s">
        <v>16</v>
      </c>
      <c r="F111" s="161" t="s">
        <v>3394</v>
      </c>
      <c r="H111" s="1" t="s">
        <v>3393</v>
      </c>
      <c r="K111" t="s">
        <v>731</v>
      </c>
      <c r="L111" t="s">
        <v>612</v>
      </c>
      <c r="M111" t="s">
        <v>613</v>
      </c>
      <c r="N111" t="s">
        <v>655</v>
      </c>
    </row>
    <row r="112" spans="1:15" x14ac:dyDescent="0.25">
      <c r="A112" t="s">
        <v>732</v>
      </c>
      <c r="B112" t="s">
        <v>733</v>
      </c>
      <c r="C112" t="s">
        <v>732</v>
      </c>
      <c r="D112" t="s">
        <v>16</v>
      </c>
      <c r="F112" s="161" t="s">
        <v>3394</v>
      </c>
      <c r="G112" t="s">
        <v>640</v>
      </c>
      <c r="H112" s="1" t="s">
        <v>3393</v>
      </c>
      <c r="I112" t="s">
        <v>734</v>
      </c>
      <c r="L112" t="s">
        <v>612</v>
      </c>
      <c r="M112" t="s">
        <v>613</v>
      </c>
      <c r="N112" t="s">
        <v>618</v>
      </c>
    </row>
    <row r="113" spans="1:15" x14ac:dyDescent="0.25">
      <c r="A113" t="s">
        <v>735</v>
      </c>
      <c r="B113" t="s">
        <v>736</v>
      </c>
      <c r="C113" t="s">
        <v>735</v>
      </c>
      <c r="D113" t="s">
        <v>16</v>
      </c>
      <c r="F113" s="161" t="s">
        <v>3394</v>
      </c>
      <c r="G113" t="s">
        <v>700</v>
      </c>
      <c r="H113" s="1" t="s">
        <v>3393</v>
      </c>
      <c r="I113" t="s">
        <v>737</v>
      </c>
      <c r="K113" t="s">
        <v>738</v>
      </c>
      <c r="L113" t="s">
        <v>612</v>
      </c>
      <c r="M113" t="s">
        <v>613</v>
      </c>
      <c r="N113" t="s">
        <v>618</v>
      </c>
    </row>
    <row r="114" spans="1:15" x14ac:dyDescent="0.25">
      <c r="A114" t="s">
        <v>739</v>
      </c>
      <c r="B114" t="s">
        <v>740</v>
      </c>
      <c r="C114" t="s">
        <v>739</v>
      </c>
      <c r="D114" t="s">
        <v>16</v>
      </c>
      <c r="F114" s="161" t="s">
        <v>3394</v>
      </c>
      <c r="G114" t="s">
        <v>700</v>
      </c>
      <c r="H114" s="1" t="s">
        <v>3393</v>
      </c>
      <c r="I114" t="s">
        <v>741</v>
      </c>
      <c r="L114" t="s">
        <v>612</v>
      </c>
      <c r="M114" t="s">
        <v>613</v>
      </c>
      <c r="N114" t="s">
        <v>618</v>
      </c>
    </row>
    <row r="115" spans="1:15" x14ac:dyDescent="0.25">
      <c r="A115" t="s">
        <v>742</v>
      </c>
      <c r="B115" t="s">
        <v>743</v>
      </c>
      <c r="C115" t="s">
        <v>742</v>
      </c>
      <c r="D115" t="s">
        <v>16</v>
      </c>
      <c r="F115" s="161" t="s">
        <v>3394</v>
      </c>
      <c r="G115" t="s">
        <v>744</v>
      </c>
      <c r="H115" s="1" t="s">
        <v>3393</v>
      </c>
      <c r="I115" t="s">
        <v>745</v>
      </c>
      <c r="K115" t="s">
        <v>746</v>
      </c>
      <c r="L115" t="s">
        <v>612</v>
      </c>
      <c r="M115" t="s">
        <v>613</v>
      </c>
      <c r="N115" t="s">
        <v>618</v>
      </c>
    </row>
    <row r="116" spans="1:15" x14ac:dyDescent="0.25">
      <c r="A116" t="s">
        <v>747</v>
      </c>
      <c r="B116" t="s">
        <v>748</v>
      </c>
      <c r="C116" t="s">
        <v>747</v>
      </c>
      <c r="D116" t="s">
        <v>16</v>
      </c>
      <c r="F116" s="161" t="s">
        <v>3394</v>
      </c>
      <c r="G116" t="s">
        <v>749</v>
      </c>
      <c r="H116" s="1" t="s">
        <v>3393</v>
      </c>
      <c r="I116" t="s">
        <v>750</v>
      </c>
      <c r="L116" t="s">
        <v>612</v>
      </c>
      <c r="M116" t="s">
        <v>613</v>
      </c>
      <c r="N116" t="s">
        <v>618</v>
      </c>
    </row>
    <row r="117" spans="1:15" x14ac:dyDescent="0.25">
      <c r="A117" t="s">
        <v>584</v>
      </c>
      <c r="B117" t="s">
        <v>751</v>
      </c>
      <c r="C117" t="s">
        <v>584</v>
      </c>
      <c r="D117" t="s">
        <v>16</v>
      </c>
      <c r="E117" t="s">
        <v>15</v>
      </c>
      <c r="F117" s="161" t="s">
        <v>3394</v>
      </c>
      <c r="G117" t="s">
        <v>752</v>
      </c>
      <c r="H117" s="1" t="s">
        <v>596</v>
      </c>
      <c r="I117" t="s">
        <v>753</v>
      </c>
      <c r="K117" t="s">
        <v>754</v>
      </c>
      <c r="L117" t="s">
        <v>612</v>
      </c>
      <c r="M117" t="s">
        <v>613</v>
      </c>
      <c r="N117" t="s">
        <v>618</v>
      </c>
      <c r="O117" s="155">
        <v>45702</v>
      </c>
    </row>
    <row r="118" spans="1:15" x14ac:dyDescent="0.25">
      <c r="A118" t="s">
        <v>581</v>
      </c>
      <c r="B118" t="s">
        <v>755</v>
      </c>
      <c r="C118" t="s">
        <v>581</v>
      </c>
      <c r="D118" t="s">
        <v>16</v>
      </c>
      <c r="E118" t="s">
        <v>15</v>
      </c>
      <c r="F118" s="161" t="s">
        <v>3394</v>
      </c>
      <c r="G118" t="s">
        <v>752</v>
      </c>
      <c r="H118" s="1" t="s">
        <v>596</v>
      </c>
      <c r="I118" t="s">
        <v>756</v>
      </c>
      <c r="L118" t="s">
        <v>612</v>
      </c>
      <c r="M118" t="s">
        <v>613</v>
      </c>
      <c r="N118" t="s">
        <v>618</v>
      </c>
      <c r="O118" s="155">
        <v>46087</v>
      </c>
    </row>
    <row r="119" spans="1:15" x14ac:dyDescent="0.25">
      <c r="A119" t="s">
        <v>760</v>
      </c>
      <c r="B119" t="s">
        <v>761</v>
      </c>
      <c r="C119" t="s">
        <v>760</v>
      </c>
      <c r="D119" t="s">
        <v>16</v>
      </c>
      <c r="F119" s="161" t="s">
        <v>3394</v>
      </c>
      <c r="G119" t="s">
        <v>749</v>
      </c>
      <c r="H119" s="1" t="s">
        <v>3393</v>
      </c>
      <c r="I119" t="s">
        <v>762</v>
      </c>
      <c r="L119" t="s">
        <v>612</v>
      </c>
      <c r="M119" t="s">
        <v>613</v>
      </c>
      <c r="N119" t="s">
        <v>618</v>
      </c>
    </row>
    <row r="120" spans="1:15" x14ac:dyDescent="0.25">
      <c r="A120" t="s">
        <v>766</v>
      </c>
      <c r="B120" t="s">
        <v>767</v>
      </c>
      <c r="C120" t="s">
        <v>766</v>
      </c>
      <c r="D120" t="s">
        <v>16</v>
      </c>
      <c r="F120" s="161" t="s">
        <v>3394</v>
      </c>
      <c r="G120" t="s">
        <v>768</v>
      </c>
      <c r="H120" s="1" t="s">
        <v>3393</v>
      </c>
      <c r="I120" t="s">
        <v>769</v>
      </c>
      <c r="K120" t="s">
        <v>770</v>
      </c>
      <c r="L120" t="s">
        <v>612</v>
      </c>
      <c r="M120" t="s">
        <v>613</v>
      </c>
      <c r="N120" t="s">
        <v>655</v>
      </c>
    </row>
    <row r="121" spans="1:15" x14ac:dyDescent="0.25">
      <c r="A121" t="s">
        <v>121</v>
      </c>
      <c r="B121" t="s">
        <v>774</v>
      </c>
      <c r="C121" t="s">
        <v>121</v>
      </c>
      <c r="D121" t="s">
        <v>16</v>
      </c>
      <c r="E121" t="s">
        <v>15</v>
      </c>
      <c r="F121" s="161" t="s">
        <v>3394</v>
      </c>
      <c r="G121" t="s">
        <v>775</v>
      </c>
      <c r="H121" s="1" t="s">
        <v>3393</v>
      </c>
      <c r="I121" t="s">
        <v>769</v>
      </c>
      <c r="K121" t="s">
        <v>776</v>
      </c>
      <c r="L121" t="s">
        <v>612</v>
      </c>
      <c r="M121" t="s">
        <v>613</v>
      </c>
      <c r="N121" t="s">
        <v>655</v>
      </c>
      <c r="O121" s="155">
        <v>45838</v>
      </c>
    </row>
    <row r="122" spans="1:15" x14ac:dyDescent="0.25">
      <c r="A122" t="s">
        <v>777</v>
      </c>
      <c r="B122" t="s">
        <v>778</v>
      </c>
      <c r="C122" t="s">
        <v>777</v>
      </c>
      <c r="D122" t="s">
        <v>16</v>
      </c>
      <c r="F122" s="161" t="s">
        <v>3394</v>
      </c>
      <c r="G122" t="s">
        <v>779</v>
      </c>
      <c r="H122" s="1" t="s">
        <v>3393</v>
      </c>
      <c r="I122" t="s">
        <v>780</v>
      </c>
      <c r="K122" t="s">
        <v>781</v>
      </c>
      <c r="L122" t="s">
        <v>612</v>
      </c>
      <c r="M122" t="s">
        <v>613</v>
      </c>
      <c r="N122" t="s">
        <v>618</v>
      </c>
    </row>
    <row r="123" spans="1:15" x14ac:dyDescent="0.25">
      <c r="A123" t="s">
        <v>782</v>
      </c>
      <c r="B123" t="s">
        <v>783</v>
      </c>
      <c r="C123" t="s">
        <v>782</v>
      </c>
      <c r="D123" t="s">
        <v>16</v>
      </c>
      <c r="F123" s="161" t="s">
        <v>3394</v>
      </c>
      <c r="G123" t="s">
        <v>653</v>
      </c>
      <c r="H123" s="1" t="s">
        <v>3393</v>
      </c>
      <c r="I123" t="s">
        <v>784</v>
      </c>
      <c r="K123" t="s">
        <v>785</v>
      </c>
      <c r="L123" t="s">
        <v>612</v>
      </c>
      <c r="M123" t="s">
        <v>613</v>
      </c>
      <c r="N123" t="s">
        <v>655</v>
      </c>
    </row>
    <row r="124" spans="1:15" x14ac:dyDescent="0.25">
      <c r="A124" t="s">
        <v>798</v>
      </c>
      <c r="B124" t="s">
        <v>799</v>
      </c>
      <c r="C124" t="s">
        <v>798</v>
      </c>
      <c r="D124" t="s">
        <v>16</v>
      </c>
      <c r="F124" s="161" t="s">
        <v>3394</v>
      </c>
      <c r="G124" t="s">
        <v>67</v>
      </c>
      <c r="H124" s="1" t="s">
        <v>3393</v>
      </c>
      <c r="I124" t="s">
        <v>800</v>
      </c>
      <c r="K124" t="s">
        <v>801</v>
      </c>
      <c r="L124" t="s">
        <v>612</v>
      </c>
      <c r="M124" t="s">
        <v>613</v>
      </c>
      <c r="N124" t="s">
        <v>655</v>
      </c>
    </row>
    <row r="125" spans="1:15" x14ac:dyDescent="0.25">
      <c r="A125" t="s">
        <v>293</v>
      </c>
      <c r="B125" t="s">
        <v>811</v>
      </c>
      <c r="C125" t="s">
        <v>293</v>
      </c>
      <c r="D125" t="s">
        <v>16</v>
      </c>
      <c r="E125" t="s">
        <v>15</v>
      </c>
      <c r="F125" s="161" t="s">
        <v>3394</v>
      </c>
      <c r="G125" t="s">
        <v>768</v>
      </c>
      <c r="H125" s="1" t="s">
        <v>3393</v>
      </c>
      <c r="I125" t="s">
        <v>769</v>
      </c>
      <c r="K125" t="s">
        <v>812</v>
      </c>
      <c r="L125" t="s">
        <v>612</v>
      </c>
      <c r="M125" t="s">
        <v>613</v>
      </c>
      <c r="N125" t="s">
        <v>655</v>
      </c>
      <c r="O125" s="155">
        <v>44454</v>
      </c>
    </row>
    <row r="126" spans="1:15" x14ac:dyDescent="0.25">
      <c r="A126" t="s">
        <v>376</v>
      </c>
      <c r="B126" t="s">
        <v>813</v>
      </c>
      <c r="C126" t="s">
        <v>376</v>
      </c>
      <c r="D126" t="s">
        <v>16</v>
      </c>
      <c r="E126" t="s">
        <v>15</v>
      </c>
      <c r="F126" s="161" t="s">
        <v>3394</v>
      </c>
      <c r="G126" t="s">
        <v>814</v>
      </c>
      <c r="H126" s="1" t="s">
        <v>587</v>
      </c>
      <c r="I126" t="s">
        <v>815</v>
      </c>
      <c r="K126" t="s">
        <v>816</v>
      </c>
      <c r="L126" t="s">
        <v>612</v>
      </c>
      <c r="M126" t="s">
        <v>613</v>
      </c>
      <c r="N126" t="s">
        <v>618</v>
      </c>
      <c r="O126" s="155" t="s">
        <v>374</v>
      </c>
    </row>
    <row r="127" spans="1:15" x14ac:dyDescent="0.25">
      <c r="A127" t="s">
        <v>817</v>
      </c>
      <c r="B127" t="s">
        <v>818</v>
      </c>
      <c r="C127" t="s">
        <v>817</v>
      </c>
      <c r="D127" t="s">
        <v>16</v>
      </c>
      <c r="F127" s="161" t="s">
        <v>3394</v>
      </c>
      <c r="G127" t="s">
        <v>819</v>
      </c>
      <c r="H127" s="1" t="s">
        <v>3393</v>
      </c>
      <c r="I127" t="s">
        <v>820</v>
      </c>
      <c r="K127" t="s">
        <v>821</v>
      </c>
      <c r="L127" t="s">
        <v>612</v>
      </c>
      <c r="M127" t="s">
        <v>613</v>
      </c>
      <c r="N127" t="s">
        <v>655</v>
      </c>
    </row>
    <row r="128" spans="1:15" x14ac:dyDescent="0.25">
      <c r="A128" t="s">
        <v>42</v>
      </c>
      <c r="B128" t="s">
        <v>822</v>
      </c>
      <c r="C128" t="s">
        <v>42</v>
      </c>
      <c r="D128" t="s">
        <v>16</v>
      </c>
      <c r="E128" t="s">
        <v>19</v>
      </c>
      <c r="F128" s="161" t="s">
        <v>3394</v>
      </c>
      <c r="G128" t="s">
        <v>749</v>
      </c>
      <c r="H128" s="1" t="s">
        <v>594</v>
      </c>
      <c r="I128" t="s">
        <v>823</v>
      </c>
      <c r="K128" t="s">
        <v>824</v>
      </c>
      <c r="L128" t="s">
        <v>612</v>
      </c>
      <c r="M128" t="s">
        <v>613</v>
      </c>
      <c r="N128" t="s">
        <v>618</v>
      </c>
      <c r="O128" s="155">
        <v>43260</v>
      </c>
    </row>
    <row r="129" spans="1:15" x14ac:dyDescent="0.25">
      <c r="A129" t="s">
        <v>343</v>
      </c>
      <c r="B129" t="s">
        <v>825</v>
      </c>
      <c r="C129" t="s">
        <v>343</v>
      </c>
      <c r="D129" t="s">
        <v>16</v>
      </c>
      <c r="E129" t="s">
        <v>15</v>
      </c>
      <c r="F129" s="161" t="s">
        <v>3394</v>
      </c>
      <c r="G129" t="s">
        <v>775</v>
      </c>
      <c r="H129" s="1" t="s">
        <v>3393</v>
      </c>
      <c r="I129" t="s">
        <v>769</v>
      </c>
      <c r="K129" t="s">
        <v>826</v>
      </c>
      <c r="L129" t="s">
        <v>612</v>
      </c>
      <c r="M129" t="s">
        <v>613</v>
      </c>
      <c r="N129" t="s">
        <v>655</v>
      </c>
      <c r="O129" s="155">
        <v>45444</v>
      </c>
    </row>
    <row r="130" spans="1:15" x14ac:dyDescent="0.25">
      <c r="A130" t="s">
        <v>827</v>
      </c>
      <c r="B130" t="s">
        <v>828</v>
      </c>
      <c r="C130" t="s">
        <v>827</v>
      </c>
      <c r="D130" t="s">
        <v>16</v>
      </c>
      <c r="F130" s="161" t="s">
        <v>3394</v>
      </c>
      <c r="G130" t="s">
        <v>829</v>
      </c>
      <c r="H130" s="1" t="s">
        <v>3393</v>
      </c>
      <c r="I130" t="s">
        <v>791</v>
      </c>
      <c r="K130" t="s">
        <v>830</v>
      </c>
      <c r="L130" t="s">
        <v>612</v>
      </c>
      <c r="M130" t="s">
        <v>613</v>
      </c>
      <c r="N130" t="s">
        <v>655</v>
      </c>
    </row>
    <row r="131" spans="1:15" x14ac:dyDescent="0.25">
      <c r="A131" t="s">
        <v>831</v>
      </c>
      <c r="B131" t="s">
        <v>832</v>
      </c>
      <c r="C131" t="s">
        <v>831</v>
      </c>
      <c r="D131" t="s">
        <v>16</v>
      </c>
      <c r="F131" s="161" t="s">
        <v>3394</v>
      </c>
      <c r="G131" t="s">
        <v>752</v>
      </c>
      <c r="H131" s="1" t="s">
        <v>3393</v>
      </c>
      <c r="I131" t="s">
        <v>833</v>
      </c>
      <c r="K131" t="s">
        <v>834</v>
      </c>
      <c r="L131" t="s">
        <v>612</v>
      </c>
      <c r="M131" t="s">
        <v>613</v>
      </c>
      <c r="N131" t="s">
        <v>618</v>
      </c>
    </row>
    <row r="132" spans="1:15" x14ac:dyDescent="0.25">
      <c r="A132" t="s">
        <v>493</v>
      </c>
      <c r="B132" t="s">
        <v>839</v>
      </c>
      <c r="C132" t="s">
        <v>493</v>
      </c>
      <c r="D132" t="s">
        <v>16</v>
      </c>
      <c r="E132" t="s">
        <v>15</v>
      </c>
      <c r="F132" s="161" t="s">
        <v>3394</v>
      </c>
      <c r="G132" t="s">
        <v>840</v>
      </c>
      <c r="H132" s="1" t="s">
        <v>587</v>
      </c>
      <c r="I132" t="s">
        <v>769</v>
      </c>
      <c r="L132" t="s">
        <v>612</v>
      </c>
      <c r="M132" t="s">
        <v>613</v>
      </c>
      <c r="N132" t="s">
        <v>618</v>
      </c>
      <c r="O132" s="155">
        <v>46088</v>
      </c>
    </row>
    <row r="133" spans="1:15" x14ac:dyDescent="0.25">
      <c r="A133" t="s">
        <v>844</v>
      </c>
      <c r="B133" t="s">
        <v>845</v>
      </c>
      <c r="C133" t="s">
        <v>844</v>
      </c>
      <c r="D133" t="s">
        <v>16</v>
      </c>
      <c r="F133" s="161" t="s">
        <v>3394</v>
      </c>
      <c r="G133" t="s">
        <v>700</v>
      </c>
      <c r="H133" s="1" t="s">
        <v>3393</v>
      </c>
      <c r="I133" t="s">
        <v>846</v>
      </c>
      <c r="K133" t="s">
        <v>847</v>
      </c>
      <c r="L133" t="s">
        <v>612</v>
      </c>
      <c r="M133" t="s">
        <v>613</v>
      </c>
      <c r="N133" t="s">
        <v>618</v>
      </c>
    </row>
    <row r="134" spans="1:15" x14ac:dyDescent="0.25">
      <c r="A134" t="s">
        <v>848</v>
      </c>
      <c r="B134" t="s">
        <v>849</v>
      </c>
      <c r="C134" t="s">
        <v>848</v>
      </c>
      <c r="D134" t="s">
        <v>16</v>
      </c>
      <c r="F134" s="161" t="s">
        <v>3394</v>
      </c>
      <c r="G134" t="s">
        <v>700</v>
      </c>
      <c r="H134" s="1" t="s">
        <v>3393</v>
      </c>
      <c r="I134" t="s">
        <v>850</v>
      </c>
      <c r="K134" t="s">
        <v>851</v>
      </c>
      <c r="L134" t="s">
        <v>612</v>
      </c>
      <c r="M134" t="s">
        <v>613</v>
      </c>
      <c r="N134" t="s">
        <v>618</v>
      </c>
    </row>
    <row r="135" spans="1:15" x14ac:dyDescent="0.25">
      <c r="A135" t="s">
        <v>852</v>
      </c>
      <c r="B135" t="s">
        <v>853</v>
      </c>
      <c r="C135" t="s">
        <v>852</v>
      </c>
      <c r="D135" t="s">
        <v>16</v>
      </c>
      <c r="F135" s="161" t="s">
        <v>3394</v>
      </c>
      <c r="G135" t="s">
        <v>621</v>
      </c>
      <c r="H135" s="1" t="s">
        <v>3393</v>
      </c>
      <c r="I135" t="s">
        <v>854</v>
      </c>
      <c r="L135" t="s">
        <v>612</v>
      </c>
      <c r="M135" t="s">
        <v>613</v>
      </c>
      <c r="N135" t="s">
        <v>618</v>
      </c>
    </row>
    <row r="136" spans="1:15" x14ac:dyDescent="0.25">
      <c r="A136" t="s">
        <v>858</v>
      </c>
      <c r="B136" t="s">
        <v>859</v>
      </c>
      <c r="C136" t="s">
        <v>858</v>
      </c>
      <c r="D136" t="s">
        <v>16</v>
      </c>
      <c r="F136" s="161" t="s">
        <v>3394</v>
      </c>
      <c r="G136" t="s">
        <v>67</v>
      </c>
      <c r="H136" s="1" t="s">
        <v>3393</v>
      </c>
      <c r="I136" t="s">
        <v>860</v>
      </c>
      <c r="K136" t="s">
        <v>861</v>
      </c>
      <c r="L136" t="s">
        <v>612</v>
      </c>
      <c r="M136" t="s">
        <v>613</v>
      </c>
      <c r="N136" t="s">
        <v>655</v>
      </c>
    </row>
    <row r="137" spans="1:15" x14ac:dyDescent="0.25">
      <c r="A137" t="s">
        <v>862</v>
      </c>
      <c r="B137" t="s">
        <v>863</v>
      </c>
      <c r="C137" t="s">
        <v>862</v>
      </c>
      <c r="D137" t="s">
        <v>16</v>
      </c>
      <c r="F137" s="161" t="s">
        <v>3394</v>
      </c>
      <c r="H137" s="1" t="s">
        <v>3393</v>
      </c>
      <c r="K137" t="s">
        <v>864</v>
      </c>
      <c r="L137" t="s">
        <v>612</v>
      </c>
      <c r="M137" t="s">
        <v>613</v>
      </c>
      <c r="N137" t="s">
        <v>655</v>
      </c>
    </row>
    <row r="138" spans="1:15" x14ac:dyDescent="0.25">
      <c r="A138" t="s">
        <v>447</v>
      </c>
      <c r="B138" t="s">
        <v>872</v>
      </c>
      <c r="C138" t="s">
        <v>447</v>
      </c>
      <c r="D138" t="s">
        <v>16</v>
      </c>
      <c r="E138" t="s">
        <v>15</v>
      </c>
      <c r="F138" s="161" t="s">
        <v>3394</v>
      </c>
      <c r="G138" t="s">
        <v>840</v>
      </c>
      <c r="H138" s="1" t="s">
        <v>594</v>
      </c>
      <c r="I138" t="s">
        <v>873</v>
      </c>
      <c r="K138" t="s">
        <v>874</v>
      </c>
      <c r="L138" t="s">
        <v>612</v>
      </c>
      <c r="M138" t="s">
        <v>613</v>
      </c>
      <c r="N138" t="s">
        <v>618</v>
      </c>
      <c r="O138" s="155">
        <v>45151</v>
      </c>
    </row>
    <row r="139" spans="1:15" x14ac:dyDescent="0.25">
      <c r="A139" t="s">
        <v>381</v>
      </c>
      <c r="B139" t="s">
        <v>875</v>
      </c>
      <c r="C139" t="s">
        <v>381</v>
      </c>
      <c r="D139" t="s">
        <v>16</v>
      </c>
      <c r="E139" t="s">
        <v>15</v>
      </c>
      <c r="F139" s="161" t="s">
        <v>3394</v>
      </c>
      <c r="G139" t="s">
        <v>876</v>
      </c>
      <c r="H139" s="1" t="s">
        <v>590</v>
      </c>
      <c r="I139" t="s">
        <v>877</v>
      </c>
      <c r="L139" t="s">
        <v>612</v>
      </c>
      <c r="M139" t="s">
        <v>613</v>
      </c>
      <c r="N139" t="s">
        <v>618</v>
      </c>
      <c r="O139" s="155">
        <v>45474</v>
      </c>
    </row>
    <row r="140" spans="1:15" x14ac:dyDescent="0.25">
      <c r="A140" t="s">
        <v>878</v>
      </c>
      <c r="B140" t="s">
        <v>879</v>
      </c>
      <c r="C140" t="s">
        <v>878</v>
      </c>
      <c r="D140" t="s">
        <v>16</v>
      </c>
      <c r="F140" s="161" t="s">
        <v>3394</v>
      </c>
      <c r="G140" t="s">
        <v>653</v>
      </c>
      <c r="H140" s="1" t="s">
        <v>3393</v>
      </c>
      <c r="I140" t="s">
        <v>880</v>
      </c>
      <c r="K140" t="s">
        <v>881</v>
      </c>
      <c r="L140" t="s">
        <v>612</v>
      </c>
      <c r="M140" t="s">
        <v>613</v>
      </c>
      <c r="N140" t="s">
        <v>655</v>
      </c>
    </row>
    <row r="141" spans="1:15" x14ac:dyDescent="0.25">
      <c r="A141" t="s">
        <v>525</v>
      </c>
      <c r="B141" t="s">
        <v>882</v>
      </c>
      <c r="C141" t="s">
        <v>525</v>
      </c>
      <c r="D141" t="s">
        <v>16</v>
      </c>
      <c r="E141" t="s">
        <v>15</v>
      </c>
      <c r="F141" s="161" t="s">
        <v>3394</v>
      </c>
      <c r="G141" t="s">
        <v>616</v>
      </c>
      <c r="H141" s="1" t="s">
        <v>593</v>
      </c>
      <c r="I141" t="s">
        <v>883</v>
      </c>
      <c r="L141" t="s">
        <v>612</v>
      </c>
      <c r="M141" t="s">
        <v>613</v>
      </c>
      <c r="N141" t="s">
        <v>618</v>
      </c>
      <c r="O141" s="155">
        <v>46183</v>
      </c>
    </row>
    <row r="142" spans="1:15" x14ac:dyDescent="0.25">
      <c r="A142" t="s">
        <v>422</v>
      </c>
      <c r="B142" t="s">
        <v>884</v>
      </c>
      <c r="C142" t="s">
        <v>422</v>
      </c>
      <c r="D142" t="s">
        <v>16</v>
      </c>
      <c r="E142" t="s">
        <v>19</v>
      </c>
      <c r="F142" s="161" t="s">
        <v>3394</v>
      </c>
      <c r="G142" t="s">
        <v>616</v>
      </c>
      <c r="H142" s="1" t="s">
        <v>593</v>
      </c>
      <c r="I142" t="s">
        <v>885</v>
      </c>
      <c r="K142" t="s">
        <v>886</v>
      </c>
      <c r="L142" t="s">
        <v>612</v>
      </c>
      <c r="M142" t="s">
        <v>613</v>
      </c>
      <c r="N142" t="s">
        <v>618</v>
      </c>
      <c r="O142" s="155">
        <v>45151</v>
      </c>
    </row>
    <row r="143" spans="1:15" x14ac:dyDescent="0.25">
      <c r="A143" t="s">
        <v>286</v>
      </c>
      <c r="B143" t="s">
        <v>890</v>
      </c>
      <c r="C143" t="s">
        <v>286</v>
      </c>
      <c r="D143" t="s">
        <v>16</v>
      </c>
      <c r="E143" t="s">
        <v>15</v>
      </c>
      <c r="F143" s="161" t="s">
        <v>3394</v>
      </c>
      <c r="G143" t="s">
        <v>836</v>
      </c>
      <c r="H143" s="1" t="s">
        <v>3393</v>
      </c>
      <c r="I143" t="s">
        <v>769</v>
      </c>
      <c r="K143" t="s">
        <v>891</v>
      </c>
      <c r="L143" t="s">
        <v>612</v>
      </c>
      <c r="M143" t="s">
        <v>613</v>
      </c>
      <c r="N143" t="s">
        <v>655</v>
      </c>
      <c r="O143" s="155">
        <v>43222</v>
      </c>
    </row>
    <row r="144" spans="1:15" x14ac:dyDescent="0.25">
      <c r="A144" t="s">
        <v>491</v>
      </c>
      <c r="B144" t="s">
        <v>893</v>
      </c>
      <c r="C144" t="s">
        <v>491</v>
      </c>
      <c r="D144" t="s">
        <v>16</v>
      </c>
      <c r="E144" t="s">
        <v>15</v>
      </c>
      <c r="F144" s="161" t="s">
        <v>3394</v>
      </c>
      <c r="G144" t="s">
        <v>700</v>
      </c>
      <c r="H144" s="1" t="s">
        <v>587</v>
      </c>
      <c r="I144" t="s">
        <v>894</v>
      </c>
      <c r="L144" t="s">
        <v>612</v>
      </c>
      <c r="M144" t="s">
        <v>613</v>
      </c>
      <c r="N144" t="s">
        <v>618</v>
      </c>
      <c r="O144" s="155">
        <v>46196</v>
      </c>
    </row>
    <row r="145" spans="1:15" x14ac:dyDescent="0.25">
      <c r="A145" t="s">
        <v>895</v>
      </c>
      <c r="B145" t="s">
        <v>896</v>
      </c>
      <c r="C145" t="s">
        <v>895</v>
      </c>
      <c r="D145" t="s">
        <v>16</v>
      </c>
      <c r="F145" s="161" t="s">
        <v>3394</v>
      </c>
      <c r="G145" t="s">
        <v>897</v>
      </c>
      <c r="H145" s="1" t="s">
        <v>3393</v>
      </c>
      <c r="I145" t="s">
        <v>898</v>
      </c>
      <c r="K145" t="s">
        <v>899</v>
      </c>
      <c r="L145" t="s">
        <v>612</v>
      </c>
      <c r="M145" t="s">
        <v>613</v>
      </c>
      <c r="N145" t="s">
        <v>655</v>
      </c>
    </row>
    <row r="146" spans="1:15" x14ac:dyDescent="0.25">
      <c r="A146" t="s">
        <v>900</v>
      </c>
      <c r="B146" t="s">
        <v>901</v>
      </c>
      <c r="C146" t="s">
        <v>900</v>
      </c>
      <c r="D146" t="s">
        <v>16</v>
      </c>
      <c r="F146" s="161" t="s">
        <v>3394</v>
      </c>
      <c r="G146" t="s">
        <v>749</v>
      </c>
      <c r="H146" s="1" t="s">
        <v>3393</v>
      </c>
      <c r="I146" t="s">
        <v>902</v>
      </c>
      <c r="K146" t="s">
        <v>903</v>
      </c>
      <c r="L146" t="s">
        <v>612</v>
      </c>
      <c r="M146" t="s">
        <v>613</v>
      </c>
      <c r="N146" t="s">
        <v>618</v>
      </c>
    </row>
    <row r="147" spans="1:15" x14ac:dyDescent="0.25">
      <c r="A147" t="s">
        <v>30</v>
      </c>
      <c r="B147" t="s">
        <v>909</v>
      </c>
      <c r="C147" t="s">
        <v>30</v>
      </c>
      <c r="D147" t="s">
        <v>16</v>
      </c>
      <c r="E147" t="s">
        <v>19</v>
      </c>
      <c r="F147" s="161" t="s">
        <v>3394</v>
      </c>
      <c r="G147" t="s">
        <v>700</v>
      </c>
      <c r="H147" s="1" t="s">
        <v>587</v>
      </c>
      <c r="I147" t="s">
        <v>910</v>
      </c>
      <c r="K147" t="s">
        <v>911</v>
      </c>
      <c r="L147" t="s">
        <v>612</v>
      </c>
      <c r="M147" t="s">
        <v>613</v>
      </c>
      <c r="N147" t="s">
        <v>618</v>
      </c>
      <c r="O147" s="155">
        <v>46183</v>
      </c>
    </row>
    <row r="148" spans="1:15" x14ac:dyDescent="0.25">
      <c r="A148" t="s">
        <v>912</v>
      </c>
      <c r="B148" t="s">
        <v>913</v>
      </c>
      <c r="C148" t="s">
        <v>912</v>
      </c>
      <c r="D148" t="s">
        <v>16</v>
      </c>
      <c r="F148" s="161" t="s">
        <v>3394</v>
      </c>
      <c r="G148" t="s">
        <v>914</v>
      </c>
      <c r="H148" s="1" t="s">
        <v>3393</v>
      </c>
      <c r="I148" t="s">
        <v>769</v>
      </c>
      <c r="K148" t="s">
        <v>915</v>
      </c>
      <c r="L148" t="s">
        <v>612</v>
      </c>
      <c r="M148" t="s">
        <v>613</v>
      </c>
      <c r="N148" t="s">
        <v>655</v>
      </c>
    </row>
    <row r="149" spans="1:15" x14ac:dyDescent="0.25">
      <c r="A149" t="s">
        <v>921</v>
      </c>
      <c r="B149" t="s">
        <v>922</v>
      </c>
      <c r="C149" t="s">
        <v>921</v>
      </c>
      <c r="D149" t="s">
        <v>16</v>
      </c>
      <c r="F149" s="161" t="s">
        <v>3394</v>
      </c>
      <c r="G149" t="s">
        <v>640</v>
      </c>
      <c r="H149" s="1" t="s">
        <v>3393</v>
      </c>
      <c r="I149" t="s">
        <v>923</v>
      </c>
      <c r="L149" t="s">
        <v>612</v>
      </c>
      <c r="M149" t="s">
        <v>613</v>
      </c>
      <c r="N149" t="s">
        <v>618</v>
      </c>
    </row>
    <row r="150" spans="1:15" x14ac:dyDescent="0.25">
      <c r="A150" t="s">
        <v>502</v>
      </c>
      <c r="B150" t="s">
        <v>924</v>
      </c>
      <c r="C150" t="s">
        <v>502</v>
      </c>
      <c r="D150" t="s">
        <v>16</v>
      </c>
      <c r="E150" t="s">
        <v>15</v>
      </c>
      <c r="F150" s="161" t="s">
        <v>3394</v>
      </c>
      <c r="G150" t="s">
        <v>925</v>
      </c>
      <c r="H150" s="1" t="s">
        <v>593</v>
      </c>
      <c r="I150" t="s">
        <v>926</v>
      </c>
      <c r="K150" t="s">
        <v>927</v>
      </c>
      <c r="L150" t="s">
        <v>612</v>
      </c>
      <c r="M150" t="s">
        <v>613</v>
      </c>
      <c r="N150" t="s">
        <v>618</v>
      </c>
      <c r="O150" s="155">
        <v>45868</v>
      </c>
    </row>
    <row r="151" spans="1:15" x14ac:dyDescent="0.25">
      <c r="A151" t="s">
        <v>548</v>
      </c>
      <c r="B151" t="s">
        <v>928</v>
      </c>
      <c r="C151" t="s">
        <v>548</v>
      </c>
      <c r="D151" t="s">
        <v>16</v>
      </c>
      <c r="E151" t="s">
        <v>15</v>
      </c>
      <c r="F151" s="161" t="s">
        <v>3394</v>
      </c>
      <c r="G151" t="s">
        <v>640</v>
      </c>
      <c r="H151" s="1" t="s">
        <v>111</v>
      </c>
      <c r="I151" t="s">
        <v>929</v>
      </c>
      <c r="K151" t="s">
        <v>930</v>
      </c>
      <c r="L151" t="s">
        <v>612</v>
      </c>
      <c r="M151" t="s">
        <v>613</v>
      </c>
      <c r="N151" t="s">
        <v>618</v>
      </c>
      <c r="O151" s="155">
        <v>46104</v>
      </c>
    </row>
    <row r="152" spans="1:15" x14ac:dyDescent="0.25">
      <c r="A152" t="s">
        <v>476</v>
      </c>
      <c r="B152" t="s">
        <v>934</v>
      </c>
      <c r="C152" t="s">
        <v>476</v>
      </c>
      <c r="D152" t="s">
        <v>16</v>
      </c>
      <c r="E152" t="s">
        <v>15</v>
      </c>
      <c r="F152" s="161" t="s">
        <v>3394</v>
      </c>
      <c r="G152" t="s">
        <v>640</v>
      </c>
      <c r="H152" s="1" t="s">
        <v>111</v>
      </c>
      <c r="I152" t="s">
        <v>935</v>
      </c>
      <c r="K152" t="s">
        <v>936</v>
      </c>
      <c r="L152" t="s">
        <v>612</v>
      </c>
      <c r="M152" t="s">
        <v>613</v>
      </c>
      <c r="N152" t="s">
        <v>618</v>
      </c>
      <c r="O152" s="155">
        <v>45579</v>
      </c>
    </row>
    <row r="153" spans="1:15" x14ac:dyDescent="0.25">
      <c r="A153" t="s">
        <v>937</v>
      </c>
      <c r="B153" t="s">
        <v>938</v>
      </c>
      <c r="C153" t="s">
        <v>937</v>
      </c>
      <c r="D153" t="s">
        <v>16</v>
      </c>
      <c r="F153" s="161" t="s">
        <v>3394</v>
      </c>
      <c r="G153" t="s">
        <v>749</v>
      </c>
      <c r="H153" s="1" t="s">
        <v>3393</v>
      </c>
      <c r="I153" t="s">
        <v>939</v>
      </c>
      <c r="K153" t="s">
        <v>940</v>
      </c>
      <c r="L153" t="s">
        <v>612</v>
      </c>
      <c r="M153" t="s">
        <v>613</v>
      </c>
      <c r="N153" t="s">
        <v>618</v>
      </c>
    </row>
    <row r="154" spans="1:15" x14ac:dyDescent="0.25">
      <c r="A154" t="s">
        <v>946</v>
      </c>
      <c r="B154" t="s">
        <v>947</v>
      </c>
      <c r="C154" t="s">
        <v>946</v>
      </c>
      <c r="D154" t="s">
        <v>16</v>
      </c>
      <c r="F154" s="161" t="s">
        <v>3394</v>
      </c>
      <c r="G154" t="s">
        <v>749</v>
      </c>
      <c r="H154" s="1" t="s">
        <v>3393</v>
      </c>
      <c r="I154" t="s">
        <v>948</v>
      </c>
      <c r="K154" t="s">
        <v>949</v>
      </c>
      <c r="L154" t="s">
        <v>612</v>
      </c>
      <c r="M154" t="s">
        <v>613</v>
      </c>
      <c r="N154" t="s">
        <v>618</v>
      </c>
    </row>
    <row r="155" spans="1:15" x14ac:dyDescent="0.25">
      <c r="A155" t="s">
        <v>950</v>
      </c>
      <c r="B155" t="s">
        <v>951</v>
      </c>
      <c r="C155" t="s">
        <v>950</v>
      </c>
      <c r="D155" t="s">
        <v>16</v>
      </c>
      <c r="F155" s="161" t="s">
        <v>3394</v>
      </c>
      <c r="G155" t="s">
        <v>640</v>
      </c>
      <c r="H155" s="1" t="s">
        <v>3393</v>
      </c>
      <c r="I155" t="s">
        <v>952</v>
      </c>
      <c r="K155" t="s">
        <v>953</v>
      </c>
      <c r="L155" t="s">
        <v>612</v>
      </c>
      <c r="M155" t="s">
        <v>613</v>
      </c>
      <c r="N155" t="s">
        <v>618</v>
      </c>
    </row>
    <row r="156" spans="1:15" x14ac:dyDescent="0.25">
      <c r="A156" t="s">
        <v>455</v>
      </c>
      <c r="B156" t="s">
        <v>954</v>
      </c>
      <c r="C156" t="s">
        <v>455</v>
      </c>
      <c r="D156" t="s">
        <v>16</v>
      </c>
      <c r="E156" t="s">
        <v>15</v>
      </c>
      <c r="F156" s="161" t="s">
        <v>3394</v>
      </c>
      <c r="G156" t="s">
        <v>749</v>
      </c>
      <c r="H156" s="1" t="s">
        <v>594</v>
      </c>
      <c r="I156" t="s">
        <v>955</v>
      </c>
      <c r="K156" t="s">
        <v>956</v>
      </c>
      <c r="L156" t="s">
        <v>612</v>
      </c>
      <c r="M156" t="s">
        <v>613</v>
      </c>
      <c r="N156" t="s">
        <v>618</v>
      </c>
      <c r="O156" s="155">
        <v>45151</v>
      </c>
    </row>
    <row r="157" spans="1:15" x14ac:dyDescent="0.25">
      <c r="A157" t="s">
        <v>582</v>
      </c>
      <c r="B157" t="s">
        <v>957</v>
      </c>
      <c r="C157" t="s">
        <v>582</v>
      </c>
      <c r="D157" t="s">
        <v>16</v>
      </c>
      <c r="E157" t="s">
        <v>15</v>
      </c>
      <c r="F157" s="161" t="s">
        <v>3394</v>
      </c>
      <c r="G157" t="s">
        <v>752</v>
      </c>
      <c r="H157" s="1" t="s">
        <v>596</v>
      </c>
      <c r="I157" t="s">
        <v>958</v>
      </c>
      <c r="K157" t="s">
        <v>959</v>
      </c>
      <c r="L157" t="s">
        <v>612</v>
      </c>
      <c r="M157" t="s">
        <v>613</v>
      </c>
      <c r="N157" t="s">
        <v>618</v>
      </c>
      <c r="O157" s="155">
        <v>45411</v>
      </c>
    </row>
    <row r="158" spans="1:15" x14ac:dyDescent="0.25">
      <c r="A158" t="s">
        <v>965</v>
      </c>
      <c r="B158" t="s">
        <v>966</v>
      </c>
      <c r="C158" t="s">
        <v>965</v>
      </c>
      <c r="D158" t="s">
        <v>16</v>
      </c>
      <c r="F158" s="161" t="s">
        <v>3394</v>
      </c>
      <c r="G158" t="s">
        <v>67</v>
      </c>
      <c r="H158" s="1" t="s">
        <v>3393</v>
      </c>
      <c r="I158" t="s">
        <v>967</v>
      </c>
      <c r="K158" t="s">
        <v>968</v>
      </c>
      <c r="L158" t="s">
        <v>612</v>
      </c>
      <c r="M158" t="s">
        <v>613</v>
      </c>
      <c r="N158" t="s">
        <v>655</v>
      </c>
    </row>
    <row r="159" spans="1:15" x14ac:dyDescent="0.25">
      <c r="A159" t="s">
        <v>978</v>
      </c>
      <c r="B159" t="s">
        <v>979</v>
      </c>
      <c r="C159" t="s">
        <v>978</v>
      </c>
      <c r="D159" t="s">
        <v>16</v>
      </c>
      <c r="F159" s="161" t="s">
        <v>3394</v>
      </c>
      <c r="G159" t="s">
        <v>980</v>
      </c>
      <c r="H159" s="1" t="s">
        <v>3393</v>
      </c>
      <c r="I159" t="s">
        <v>981</v>
      </c>
      <c r="K159" t="s">
        <v>982</v>
      </c>
      <c r="L159" t="s">
        <v>612</v>
      </c>
      <c r="M159" t="s">
        <v>613</v>
      </c>
      <c r="N159" t="s">
        <v>655</v>
      </c>
    </row>
    <row r="160" spans="1:15" x14ac:dyDescent="0.25">
      <c r="A160" t="s">
        <v>983</v>
      </c>
      <c r="B160" t="s">
        <v>984</v>
      </c>
      <c r="C160" t="s">
        <v>983</v>
      </c>
      <c r="D160" t="s">
        <v>16</v>
      </c>
      <c r="F160" s="161" t="s">
        <v>3394</v>
      </c>
      <c r="G160" t="s">
        <v>700</v>
      </c>
      <c r="H160" s="1" t="s">
        <v>3393</v>
      </c>
      <c r="I160" t="s">
        <v>985</v>
      </c>
      <c r="K160" t="s">
        <v>986</v>
      </c>
      <c r="L160" t="s">
        <v>612</v>
      </c>
      <c r="M160" t="s">
        <v>613</v>
      </c>
      <c r="N160" t="s">
        <v>618</v>
      </c>
    </row>
    <row r="161" spans="1:15" x14ac:dyDescent="0.25">
      <c r="A161" t="s">
        <v>448</v>
      </c>
      <c r="B161" t="s">
        <v>996</v>
      </c>
      <c r="C161" t="s">
        <v>448</v>
      </c>
      <c r="D161" t="s">
        <v>16</v>
      </c>
      <c r="E161" t="s">
        <v>15</v>
      </c>
      <c r="F161" s="161" t="s">
        <v>3394</v>
      </c>
      <c r="G161" t="s">
        <v>840</v>
      </c>
      <c r="H161" s="1" t="s">
        <v>594</v>
      </c>
      <c r="I161" t="s">
        <v>955</v>
      </c>
      <c r="K161" t="s">
        <v>997</v>
      </c>
      <c r="L161" t="s">
        <v>612</v>
      </c>
      <c r="M161" t="s">
        <v>613</v>
      </c>
      <c r="N161" t="s">
        <v>618</v>
      </c>
      <c r="O161" s="155">
        <v>45151</v>
      </c>
    </row>
    <row r="162" spans="1:15" x14ac:dyDescent="0.25">
      <c r="A162" t="s">
        <v>998</v>
      </c>
      <c r="B162" t="s">
        <v>999</v>
      </c>
      <c r="C162" t="s">
        <v>998</v>
      </c>
      <c r="D162" t="s">
        <v>16</v>
      </c>
      <c r="F162" s="161" t="s">
        <v>3394</v>
      </c>
      <c r="H162" s="1" t="s">
        <v>3393</v>
      </c>
      <c r="K162" t="s">
        <v>1000</v>
      </c>
      <c r="L162" t="s">
        <v>612</v>
      </c>
      <c r="M162" t="s">
        <v>613</v>
      </c>
      <c r="N162" t="s">
        <v>618</v>
      </c>
    </row>
    <row r="163" spans="1:15" x14ac:dyDescent="0.25">
      <c r="A163" t="s">
        <v>1006</v>
      </c>
      <c r="B163" t="s">
        <v>1007</v>
      </c>
      <c r="C163" t="s">
        <v>1006</v>
      </c>
      <c r="D163" t="s">
        <v>16</v>
      </c>
      <c r="F163" s="161" t="s">
        <v>3394</v>
      </c>
      <c r="G163" t="s">
        <v>716</v>
      </c>
      <c r="H163" s="1" t="s">
        <v>3393</v>
      </c>
      <c r="I163" t="s">
        <v>1008</v>
      </c>
      <c r="K163" t="s">
        <v>1009</v>
      </c>
      <c r="L163" t="s">
        <v>612</v>
      </c>
      <c r="M163" t="s">
        <v>613</v>
      </c>
      <c r="N163" t="s">
        <v>655</v>
      </c>
    </row>
    <row r="164" spans="1:15" x14ac:dyDescent="0.25">
      <c r="A164" t="s">
        <v>1010</v>
      </c>
      <c r="B164" t="s">
        <v>1011</v>
      </c>
      <c r="C164" t="s">
        <v>1010</v>
      </c>
      <c r="D164" t="s">
        <v>16</v>
      </c>
      <c r="F164" s="161" t="s">
        <v>3394</v>
      </c>
      <c r="G164" t="s">
        <v>1012</v>
      </c>
      <c r="H164" s="1" t="s">
        <v>3393</v>
      </c>
      <c r="I164" t="s">
        <v>1013</v>
      </c>
      <c r="K164" t="s">
        <v>1014</v>
      </c>
      <c r="L164" t="s">
        <v>612</v>
      </c>
      <c r="M164" t="s">
        <v>613</v>
      </c>
      <c r="N164" t="s">
        <v>618</v>
      </c>
    </row>
    <row r="165" spans="1:15" x14ac:dyDescent="0.25">
      <c r="A165" t="s">
        <v>1015</v>
      </c>
      <c r="B165" t="s">
        <v>1016</v>
      </c>
      <c r="C165" t="s">
        <v>1015</v>
      </c>
      <c r="D165" t="s">
        <v>16</v>
      </c>
      <c r="F165" s="161" t="s">
        <v>3394</v>
      </c>
      <c r="G165" t="s">
        <v>768</v>
      </c>
      <c r="H165" s="1" t="s">
        <v>3393</v>
      </c>
      <c r="I165" t="s">
        <v>769</v>
      </c>
      <c r="K165" t="s">
        <v>1017</v>
      </c>
      <c r="L165" t="s">
        <v>612</v>
      </c>
      <c r="M165" t="s">
        <v>613</v>
      </c>
      <c r="N165" t="s">
        <v>655</v>
      </c>
    </row>
    <row r="166" spans="1:15" x14ac:dyDescent="0.25">
      <c r="A166" t="s">
        <v>1018</v>
      </c>
      <c r="B166" t="s">
        <v>1019</v>
      </c>
      <c r="C166" t="s">
        <v>1018</v>
      </c>
      <c r="D166" t="s">
        <v>16</v>
      </c>
      <c r="F166" s="161" t="s">
        <v>3394</v>
      </c>
      <c r="G166" t="s">
        <v>749</v>
      </c>
      <c r="H166" s="1" t="s">
        <v>3393</v>
      </c>
      <c r="I166" t="s">
        <v>1020</v>
      </c>
      <c r="L166" t="s">
        <v>612</v>
      </c>
      <c r="M166" t="s">
        <v>613</v>
      </c>
      <c r="N166" t="s">
        <v>618</v>
      </c>
    </row>
    <row r="167" spans="1:15" x14ac:dyDescent="0.25">
      <c r="A167" t="s">
        <v>302</v>
      </c>
      <c r="B167" t="s">
        <v>1030</v>
      </c>
      <c r="C167" t="s">
        <v>302</v>
      </c>
      <c r="D167" t="s">
        <v>16</v>
      </c>
      <c r="E167" t="s">
        <v>15</v>
      </c>
      <c r="F167" s="161" t="s">
        <v>3394</v>
      </c>
      <c r="G167" t="s">
        <v>768</v>
      </c>
      <c r="H167" s="1" t="s">
        <v>3393</v>
      </c>
      <c r="I167" t="s">
        <v>769</v>
      </c>
      <c r="K167" t="s">
        <v>1031</v>
      </c>
      <c r="L167" t="s">
        <v>612</v>
      </c>
      <c r="M167" t="s">
        <v>613</v>
      </c>
      <c r="N167" t="s">
        <v>655</v>
      </c>
      <c r="O167" s="155">
        <v>45834</v>
      </c>
    </row>
    <row r="168" spans="1:15" x14ac:dyDescent="0.25">
      <c r="A168" t="s">
        <v>177</v>
      </c>
      <c r="B168" t="s">
        <v>1032</v>
      </c>
      <c r="C168" t="s">
        <v>177</v>
      </c>
      <c r="D168" t="s">
        <v>16</v>
      </c>
      <c r="E168" t="s">
        <v>15</v>
      </c>
      <c r="F168" s="161" t="s">
        <v>3394</v>
      </c>
      <c r="G168" t="s">
        <v>1033</v>
      </c>
      <c r="H168" s="1" t="s">
        <v>3393</v>
      </c>
      <c r="I168" t="s">
        <v>1034</v>
      </c>
      <c r="K168" t="s">
        <v>1035</v>
      </c>
      <c r="L168" t="s">
        <v>612</v>
      </c>
      <c r="M168" t="s">
        <v>613</v>
      </c>
      <c r="N168" t="s">
        <v>655</v>
      </c>
      <c r="O168" s="155">
        <v>45163</v>
      </c>
    </row>
    <row r="169" spans="1:15" x14ac:dyDescent="0.25">
      <c r="A169" t="s">
        <v>1036</v>
      </c>
      <c r="B169" t="s">
        <v>1037</v>
      </c>
      <c r="C169" t="s">
        <v>1036</v>
      </c>
      <c r="D169" t="s">
        <v>16</v>
      </c>
      <c r="F169" s="161" t="s">
        <v>3394</v>
      </c>
      <c r="G169" t="s">
        <v>616</v>
      </c>
      <c r="H169" s="1" t="s">
        <v>3393</v>
      </c>
      <c r="I169" t="s">
        <v>1038</v>
      </c>
      <c r="L169" t="s">
        <v>612</v>
      </c>
      <c r="M169" t="s">
        <v>613</v>
      </c>
      <c r="N169" t="s">
        <v>618</v>
      </c>
    </row>
    <row r="170" spans="1:15" x14ac:dyDescent="0.25">
      <c r="A170" t="s">
        <v>1048</v>
      </c>
      <c r="B170" t="s">
        <v>1049</v>
      </c>
      <c r="C170" t="s">
        <v>1048</v>
      </c>
      <c r="D170" t="s">
        <v>16</v>
      </c>
      <c r="F170" s="161" t="s">
        <v>3394</v>
      </c>
      <c r="G170" t="s">
        <v>67</v>
      </c>
      <c r="H170" s="1" t="s">
        <v>3393</v>
      </c>
      <c r="I170" t="s">
        <v>1050</v>
      </c>
      <c r="K170" t="s">
        <v>1051</v>
      </c>
      <c r="L170" t="s">
        <v>612</v>
      </c>
      <c r="M170" t="s">
        <v>613</v>
      </c>
      <c r="N170" t="s">
        <v>655</v>
      </c>
    </row>
    <row r="171" spans="1:15" x14ac:dyDescent="0.25">
      <c r="A171" t="s">
        <v>176</v>
      </c>
      <c r="B171" t="s">
        <v>1055</v>
      </c>
      <c r="C171" t="s">
        <v>176</v>
      </c>
      <c r="D171" t="s">
        <v>16</v>
      </c>
      <c r="E171" t="s">
        <v>15</v>
      </c>
      <c r="F171" s="161" t="s">
        <v>3394</v>
      </c>
      <c r="G171" t="s">
        <v>168</v>
      </c>
      <c r="H171" s="1" t="s">
        <v>3393</v>
      </c>
      <c r="I171" t="s">
        <v>1056</v>
      </c>
      <c r="K171" t="s">
        <v>1057</v>
      </c>
      <c r="L171" t="s">
        <v>612</v>
      </c>
      <c r="M171" t="s">
        <v>613</v>
      </c>
      <c r="N171" t="s">
        <v>655</v>
      </c>
      <c r="O171" s="155">
        <v>45181</v>
      </c>
    </row>
    <row r="172" spans="1:15" x14ac:dyDescent="0.25">
      <c r="A172" t="s">
        <v>1058</v>
      </c>
      <c r="B172" t="s">
        <v>1059</v>
      </c>
      <c r="C172" t="s">
        <v>1058</v>
      </c>
      <c r="D172" t="s">
        <v>16</v>
      </c>
      <c r="F172" s="161" t="s">
        <v>3394</v>
      </c>
      <c r="H172" s="1" t="s">
        <v>3393</v>
      </c>
      <c r="K172" t="s">
        <v>1060</v>
      </c>
      <c r="L172" t="s">
        <v>612</v>
      </c>
      <c r="M172" t="s">
        <v>613</v>
      </c>
      <c r="N172" t="s">
        <v>655</v>
      </c>
    </row>
    <row r="173" spans="1:15" x14ac:dyDescent="0.25">
      <c r="A173" t="s">
        <v>1061</v>
      </c>
      <c r="B173" t="s">
        <v>1062</v>
      </c>
      <c r="C173" t="s">
        <v>1061</v>
      </c>
      <c r="D173" t="s">
        <v>16</v>
      </c>
      <c r="F173" s="161" t="s">
        <v>3394</v>
      </c>
      <c r="G173" t="s">
        <v>616</v>
      </c>
      <c r="H173" s="1" t="s">
        <v>3393</v>
      </c>
      <c r="I173" t="s">
        <v>1063</v>
      </c>
      <c r="L173" t="s">
        <v>612</v>
      </c>
      <c r="M173" t="s">
        <v>613</v>
      </c>
      <c r="N173" t="s">
        <v>618</v>
      </c>
    </row>
    <row r="174" spans="1:15" x14ac:dyDescent="0.25">
      <c r="A174" t="s">
        <v>1064</v>
      </c>
      <c r="B174" t="s">
        <v>1065</v>
      </c>
      <c r="C174" t="s">
        <v>1064</v>
      </c>
      <c r="D174" t="s">
        <v>16</v>
      </c>
      <c r="F174" s="161" t="s">
        <v>3394</v>
      </c>
      <c r="G174" t="s">
        <v>1066</v>
      </c>
      <c r="H174" s="1" t="s">
        <v>3393</v>
      </c>
      <c r="I174" t="s">
        <v>877</v>
      </c>
      <c r="K174" t="s">
        <v>1067</v>
      </c>
      <c r="L174" t="s">
        <v>612</v>
      </c>
      <c r="M174" t="s">
        <v>613</v>
      </c>
      <c r="N174" t="s">
        <v>618</v>
      </c>
    </row>
    <row r="175" spans="1:15" x14ac:dyDescent="0.25">
      <c r="A175" t="s">
        <v>1068</v>
      </c>
      <c r="B175" t="s">
        <v>1069</v>
      </c>
      <c r="C175" t="s">
        <v>1068</v>
      </c>
      <c r="D175" t="s">
        <v>16</v>
      </c>
      <c r="F175" s="161" t="s">
        <v>3394</v>
      </c>
      <c r="G175" t="s">
        <v>67</v>
      </c>
      <c r="H175" s="1" t="s">
        <v>3393</v>
      </c>
      <c r="I175" t="s">
        <v>1070</v>
      </c>
      <c r="L175" t="s">
        <v>612</v>
      </c>
      <c r="M175" t="s">
        <v>613</v>
      </c>
      <c r="N175" t="s">
        <v>655</v>
      </c>
    </row>
    <row r="176" spans="1:15" x14ac:dyDescent="0.25">
      <c r="A176" t="s">
        <v>54</v>
      </c>
      <c r="B176" t="s">
        <v>1071</v>
      </c>
      <c r="C176" t="s">
        <v>54</v>
      </c>
      <c r="D176" t="s">
        <v>16</v>
      </c>
      <c r="E176" t="s">
        <v>15</v>
      </c>
      <c r="F176" s="161" t="s">
        <v>3394</v>
      </c>
      <c r="G176" t="s">
        <v>1072</v>
      </c>
      <c r="H176" s="1" t="s">
        <v>587</v>
      </c>
      <c r="I176" t="s">
        <v>1073</v>
      </c>
      <c r="K176" t="s">
        <v>1074</v>
      </c>
      <c r="L176" t="s">
        <v>612</v>
      </c>
      <c r="M176" t="s">
        <v>613</v>
      </c>
      <c r="N176" t="s">
        <v>618</v>
      </c>
      <c r="O176" s="155">
        <v>0</v>
      </c>
    </row>
    <row r="177" spans="1:15" x14ac:dyDescent="0.25">
      <c r="A177" t="s">
        <v>1075</v>
      </c>
      <c r="B177" t="s">
        <v>1076</v>
      </c>
      <c r="C177" t="s">
        <v>1075</v>
      </c>
      <c r="D177" t="s">
        <v>16</v>
      </c>
      <c r="F177" s="161" t="s">
        <v>3394</v>
      </c>
      <c r="G177" t="s">
        <v>616</v>
      </c>
      <c r="H177" s="1" t="s">
        <v>3393</v>
      </c>
      <c r="I177" t="s">
        <v>1077</v>
      </c>
      <c r="L177" t="s">
        <v>612</v>
      </c>
      <c r="M177" t="s">
        <v>613</v>
      </c>
      <c r="N177" t="s">
        <v>618</v>
      </c>
    </row>
    <row r="178" spans="1:15" x14ac:dyDescent="0.25">
      <c r="A178" t="s">
        <v>61</v>
      </c>
      <c r="B178" t="s">
        <v>1083</v>
      </c>
      <c r="C178" t="s">
        <v>61</v>
      </c>
      <c r="D178" t="s">
        <v>16</v>
      </c>
      <c r="E178" t="s">
        <v>19</v>
      </c>
      <c r="F178" s="161" t="s">
        <v>3394</v>
      </c>
      <c r="G178" t="s">
        <v>749</v>
      </c>
      <c r="H178" s="1" t="s">
        <v>594</v>
      </c>
      <c r="I178" t="s">
        <v>1084</v>
      </c>
      <c r="K178" t="s">
        <v>1085</v>
      </c>
      <c r="L178" t="s">
        <v>612</v>
      </c>
      <c r="M178" t="s">
        <v>613</v>
      </c>
      <c r="N178" t="s">
        <v>618</v>
      </c>
      <c r="O178" s="155">
        <v>42072</v>
      </c>
    </row>
    <row r="179" spans="1:15" x14ac:dyDescent="0.25">
      <c r="A179" t="s">
        <v>1086</v>
      </c>
      <c r="B179" t="s">
        <v>1087</v>
      </c>
      <c r="C179" t="s">
        <v>1086</v>
      </c>
      <c r="D179" t="s">
        <v>16</v>
      </c>
      <c r="F179" s="161" t="s">
        <v>3394</v>
      </c>
      <c r="G179" t="s">
        <v>700</v>
      </c>
      <c r="H179" s="1" t="s">
        <v>3393</v>
      </c>
      <c r="I179" t="s">
        <v>1088</v>
      </c>
      <c r="L179" t="s">
        <v>612</v>
      </c>
      <c r="M179" t="s">
        <v>613</v>
      </c>
      <c r="N179" t="s">
        <v>618</v>
      </c>
    </row>
    <row r="180" spans="1:15" x14ac:dyDescent="0.25">
      <c r="A180" t="s">
        <v>1089</v>
      </c>
      <c r="B180" t="s">
        <v>1090</v>
      </c>
      <c r="C180" t="s">
        <v>1089</v>
      </c>
      <c r="D180" t="s">
        <v>16</v>
      </c>
      <c r="F180" s="161" t="s">
        <v>3394</v>
      </c>
      <c r="G180" t="s">
        <v>640</v>
      </c>
      <c r="H180" s="1" t="s">
        <v>3393</v>
      </c>
      <c r="I180" t="s">
        <v>894</v>
      </c>
      <c r="L180" t="s">
        <v>612</v>
      </c>
      <c r="M180" t="s">
        <v>613</v>
      </c>
      <c r="N180" t="s">
        <v>618</v>
      </c>
    </row>
    <row r="181" spans="1:15" x14ac:dyDescent="0.25">
      <c r="A181" t="s">
        <v>431</v>
      </c>
      <c r="B181" t="s">
        <v>1091</v>
      </c>
      <c r="C181" t="s">
        <v>431</v>
      </c>
      <c r="D181" t="s">
        <v>16</v>
      </c>
      <c r="E181" t="s">
        <v>19</v>
      </c>
      <c r="F181" s="161" t="s">
        <v>3394</v>
      </c>
      <c r="G181" t="s">
        <v>744</v>
      </c>
      <c r="H181" s="1" t="s">
        <v>590</v>
      </c>
      <c r="I181" t="s">
        <v>1092</v>
      </c>
      <c r="K181" t="s">
        <v>1093</v>
      </c>
      <c r="L181" t="s">
        <v>612</v>
      </c>
      <c r="M181" t="s">
        <v>613</v>
      </c>
      <c r="N181" t="s">
        <v>618</v>
      </c>
      <c r="O181" s="155">
        <v>45447</v>
      </c>
    </row>
    <row r="182" spans="1:15" x14ac:dyDescent="0.25">
      <c r="A182" t="s">
        <v>1097</v>
      </c>
      <c r="B182" t="s">
        <v>1098</v>
      </c>
      <c r="C182" t="s">
        <v>1097</v>
      </c>
      <c r="D182" t="s">
        <v>16</v>
      </c>
      <c r="F182" s="161" t="s">
        <v>3394</v>
      </c>
      <c r="G182" t="s">
        <v>752</v>
      </c>
      <c r="H182" s="1" t="s">
        <v>3393</v>
      </c>
      <c r="I182" t="s">
        <v>1099</v>
      </c>
      <c r="K182" t="s">
        <v>1100</v>
      </c>
      <c r="L182" t="s">
        <v>612</v>
      </c>
      <c r="M182" t="s">
        <v>613</v>
      </c>
      <c r="N182" t="s">
        <v>618</v>
      </c>
    </row>
    <row r="183" spans="1:15" x14ac:dyDescent="0.25">
      <c r="A183" t="s">
        <v>1104</v>
      </c>
      <c r="B183" t="s">
        <v>1105</v>
      </c>
      <c r="C183" t="s">
        <v>1104</v>
      </c>
      <c r="D183" t="s">
        <v>16</v>
      </c>
      <c r="F183" s="161" t="s">
        <v>3394</v>
      </c>
      <c r="G183" t="s">
        <v>744</v>
      </c>
      <c r="H183" s="1" t="s">
        <v>3393</v>
      </c>
      <c r="I183" t="s">
        <v>1106</v>
      </c>
      <c r="K183" t="s">
        <v>1107</v>
      </c>
      <c r="L183" t="s">
        <v>612</v>
      </c>
      <c r="M183" t="s">
        <v>613</v>
      </c>
      <c r="N183" t="s">
        <v>618</v>
      </c>
    </row>
    <row r="184" spans="1:15" x14ac:dyDescent="0.25">
      <c r="A184" t="s">
        <v>1108</v>
      </c>
      <c r="B184" t="s">
        <v>1109</v>
      </c>
      <c r="C184" t="s">
        <v>1108</v>
      </c>
      <c r="D184" t="s">
        <v>16</v>
      </c>
      <c r="F184" s="161" t="s">
        <v>3394</v>
      </c>
      <c r="G184" t="s">
        <v>744</v>
      </c>
      <c r="H184" s="1" t="s">
        <v>3393</v>
      </c>
      <c r="I184" t="s">
        <v>734</v>
      </c>
      <c r="L184" t="s">
        <v>612</v>
      </c>
      <c r="M184" t="s">
        <v>613</v>
      </c>
      <c r="N184" t="s">
        <v>618</v>
      </c>
    </row>
    <row r="185" spans="1:15" x14ac:dyDescent="0.25">
      <c r="A185" t="s">
        <v>461</v>
      </c>
      <c r="B185" t="s">
        <v>1115</v>
      </c>
      <c r="C185" t="s">
        <v>461</v>
      </c>
      <c r="D185" t="s">
        <v>16</v>
      </c>
      <c r="E185" t="s">
        <v>15</v>
      </c>
      <c r="F185" s="161" t="s">
        <v>3394</v>
      </c>
      <c r="G185" t="s">
        <v>749</v>
      </c>
      <c r="H185" s="1" t="s">
        <v>594</v>
      </c>
      <c r="I185" t="s">
        <v>1116</v>
      </c>
      <c r="K185" t="s">
        <v>1117</v>
      </c>
      <c r="L185" t="s">
        <v>612</v>
      </c>
      <c r="M185" t="s">
        <v>613</v>
      </c>
      <c r="N185" t="s">
        <v>618</v>
      </c>
      <c r="O185" s="155">
        <v>45151</v>
      </c>
    </row>
    <row r="186" spans="1:15" x14ac:dyDescent="0.25">
      <c r="A186" t="s">
        <v>1118</v>
      </c>
      <c r="B186" t="s">
        <v>1119</v>
      </c>
      <c r="C186" t="s">
        <v>1118</v>
      </c>
      <c r="D186" t="s">
        <v>16</v>
      </c>
      <c r="F186" s="161" t="s">
        <v>3394</v>
      </c>
      <c r="G186" t="s">
        <v>640</v>
      </c>
      <c r="H186" s="1" t="s">
        <v>3393</v>
      </c>
      <c r="I186" t="s">
        <v>641</v>
      </c>
      <c r="K186" t="s">
        <v>1120</v>
      </c>
      <c r="L186" t="s">
        <v>612</v>
      </c>
      <c r="M186" t="s">
        <v>613</v>
      </c>
      <c r="N186" t="s">
        <v>618</v>
      </c>
    </row>
    <row r="187" spans="1:15" x14ac:dyDescent="0.25">
      <c r="A187" t="s">
        <v>1121</v>
      </c>
      <c r="B187" t="s">
        <v>1122</v>
      </c>
      <c r="C187" t="s">
        <v>1121</v>
      </c>
      <c r="D187" t="s">
        <v>16</v>
      </c>
      <c r="F187" s="161" t="s">
        <v>3394</v>
      </c>
      <c r="G187" t="s">
        <v>703</v>
      </c>
      <c r="H187" s="1" t="s">
        <v>3393</v>
      </c>
      <c r="I187" t="s">
        <v>1123</v>
      </c>
      <c r="K187" t="s">
        <v>1124</v>
      </c>
      <c r="L187" t="s">
        <v>612</v>
      </c>
      <c r="M187" t="s">
        <v>613</v>
      </c>
      <c r="N187" t="s">
        <v>618</v>
      </c>
    </row>
    <row r="188" spans="1:15" x14ac:dyDescent="0.25">
      <c r="A188" t="s">
        <v>1125</v>
      </c>
      <c r="B188" t="s">
        <v>1126</v>
      </c>
      <c r="C188" t="s">
        <v>1125</v>
      </c>
      <c r="D188" t="s">
        <v>16</v>
      </c>
      <c r="F188" s="161" t="s">
        <v>3394</v>
      </c>
      <c r="G188" t="s">
        <v>768</v>
      </c>
      <c r="H188" s="1" t="s">
        <v>3393</v>
      </c>
      <c r="I188" t="s">
        <v>769</v>
      </c>
      <c r="K188" t="s">
        <v>1127</v>
      </c>
      <c r="L188" t="s">
        <v>612</v>
      </c>
      <c r="M188" t="s">
        <v>613</v>
      </c>
      <c r="N188" t="s">
        <v>655</v>
      </c>
    </row>
    <row r="189" spans="1:15" x14ac:dyDescent="0.25">
      <c r="A189" t="s">
        <v>1128</v>
      </c>
      <c r="B189" t="s">
        <v>1129</v>
      </c>
      <c r="C189" t="s">
        <v>1128</v>
      </c>
      <c r="D189" t="s">
        <v>16</v>
      </c>
      <c r="F189" s="161" t="s">
        <v>3394</v>
      </c>
      <c r="G189" t="s">
        <v>700</v>
      </c>
      <c r="H189" s="1" t="s">
        <v>3393</v>
      </c>
      <c r="I189" t="s">
        <v>1130</v>
      </c>
      <c r="L189" t="s">
        <v>612</v>
      </c>
      <c r="M189" t="s">
        <v>613</v>
      </c>
      <c r="N189" t="s">
        <v>618</v>
      </c>
    </row>
    <row r="190" spans="1:15" x14ac:dyDescent="0.25">
      <c r="A190" t="s">
        <v>1134</v>
      </c>
      <c r="B190" t="s">
        <v>1135</v>
      </c>
      <c r="C190" t="s">
        <v>1134</v>
      </c>
      <c r="D190" t="s">
        <v>16</v>
      </c>
      <c r="F190" s="161" t="s">
        <v>3394</v>
      </c>
      <c r="G190" t="s">
        <v>1136</v>
      </c>
      <c r="H190" s="1" t="s">
        <v>3393</v>
      </c>
      <c r="I190" t="s">
        <v>1137</v>
      </c>
      <c r="K190" t="s">
        <v>1138</v>
      </c>
      <c r="L190" t="s">
        <v>612</v>
      </c>
      <c r="M190" t="s">
        <v>613</v>
      </c>
      <c r="N190" t="s">
        <v>618</v>
      </c>
    </row>
    <row r="191" spans="1:15" x14ac:dyDescent="0.25">
      <c r="A191" t="s">
        <v>1139</v>
      </c>
      <c r="B191" t="s">
        <v>1140</v>
      </c>
      <c r="C191" t="s">
        <v>1139</v>
      </c>
      <c r="D191" t="s">
        <v>16</v>
      </c>
      <c r="F191" s="161" t="s">
        <v>3394</v>
      </c>
      <c r="G191" t="s">
        <v>102</v>
      </c>
      <c r="H191" s="1" t="s">
        <v>3393</v>
      </c>
      <c r="I191" t="s">
        <v>1141</v>
      </c>
      <c r="K191" t="s">
        <v>1142</v>
      </c>
      <c r="L191" t="s">
        <v>612</v>
      </c>
      <c r="M191" t="s">
        <v>613</v>
      </c>
      <c r="N191" t="s">
        <v>655</v>
      </c>
    </row>
    <row r="192" spans="1:15" x14ac:dyDescent="0.25">
      <c r="A192" t="s">
        <v>1147</v>
      </c>
      <c r="B192" t="s">
        <v>1148</v>
      </c>
      <c r="C192" t="s">
        <v>1147</v>
      </c>
      <c r="D192" t="s">
        <v>16</v>
      </c>
      <c r="F192" s="161" t="s">
        <v>3394</v>
      </c>
      <c r="G192" t="s">
        <v>716</v>
      </c>
      <c r="H192" s="1" t="s">
        <v>3393</v>
      </c>
      <c r="I192" t="s">
        <v>1149</v>
      </c>
      <c r="K192" t="s">
        <v>1150</v>
      </c>
      <c r="L192" t="s">
        <v>612</v>
      </c>
      <c r="M192" t="s">
        <v>613</v>
      </c>
      <c r="N192" t="s">
        <v>655</v>
      </c>
    </row>
    <row r="193" spans="1:15" x14ac:dyDescent="0.25">
      <c r="A193" t="s">
        <v>1151</v>
      </c>
      <c r="B193" t="s">
        <v>1152</v>
      </c>
      <c r="C193" t="s">
        <v>1151</v>
      </c>
      <c r="D193" t="s">
        <v>16</v>
      </c>
      <c r="F193" s="161" t="s">
        <v>3394</v>
      </c>
      <c r="G193" t="s">
        <v>716</v>
      </c>
      <c r="H193" s="1" t="s">
        <v>3393</v>
      </c>
      <c r="I193" t="s">
        <v>1153</v>
      </c>
      <c r="K193" t="s">
        <v>1154</v>
      </c>
      <c r="L193" t="s">
        <v>612</v>
      </c>
      <c r="M193" t="s">
        <v>613</v>
      </c>
      <c r="N193" t="s">
        <v>655</v>
      </c>
    </row>
    <row r="194" spans="1:15" x14ac:dyDescent="0.25">
      <c r="A194" t="s">
        <v>1159</v>
      </c>
      <c r="B194" t="s">
        <v>1160</v>
      </c>
      <c r="C194" t="s">
        <v>1159</v>
      </c>
      <c r="D194" t="s">
        <v>16</v>
      </c>
      <c r="F194" s="161" t="s">
        <v>3394</v>
      </c>
      <c r="G194" t="s">
        <v>749</v>
      </c>
      <c r="H194" s="1" t="s">
        <v>3393</v>
      </c>
      <c r="I194" t="s">
        <v>994</v>
      </c>
      <c r="K194" t="s">
        <v>1161</v>
      </c>
      <c r="L194" t="s">
        <v>612</v>
      </c>
      <c r="M194" t="s">
        <v>613</v>
      </c>
      <c r="N194" t="s">
        <v>618</v>
      </c>
    </row>
    <row r="195" spans="1:15" x14ac:dyDescent="0.25">
      <c r="A195" t="s">
        <v>1162</v>
      </c>
      <c r="B195" t="s">
        <v>1163</v>
      </c>
      <c r="C195" t="s">
        <v>1162</v>
      </c>
      <c r="D195" t="s">
        <v>16</v>
      </c>
      <c r="F195" s="161" t="s">
        <v>3394</v>
      </c>
      <c r="G195" t="s">
        <v>67</v>
      </c>
      <c r="H195" s="1" t="s">
        <v>3393</v>
      </c>
      <c r="I195" t="s">
        <v>1164</v>
      </c>
      <c r="K195" t="s">
        <v>1165</v>
      </c>
      <c r="L195" t="s">
        <v>612</v>
      </c>
      <c r="M195" t="s">
        <v>613</v>
      </c>
      <c r="N195" t="s">
        <v>655</v>
      </c>
    </row>
    <row r="196" spans="1:15" x14ac:dyDescent="0.25">
      <c r="A196" t="s">
        <v>1166</v>
      </c>
      <c r="B196" t="s">
        <v>1167</v>
      </c>
      <c r="C196" t="s">
        <v>1166</v>
      </c>
      <c r="D196" t="s">
        <v>16</v>
      </c>
      <c r="F196" s="161" t="s">
        <v>3394</v>
      </c>
      <c r="H196" s="1" t="s">
        <v>3393</v>
      </c>
      <c r="K196" t="s">
        <v>1168</v>
      </c>
      <c r="L196" t="s">
        <v>612</v>
      </c>
      <c r="M196" t="s">
        <v>613</v>
      </c>
      <c r="N196" t="s">
        <v>618</v>
      </c>
    </row>
    <row r="197" spans="1:15" x14ac:dyDescent="0.25">
      <c r="A197" t="s">
        <v>1169</v>
      </c>
      <c r="B197" t="s">
        <v>1170</v>
      </c>
      <c r="C197" t="s">
        <v>1169</v>
      </c>
      <c r="D197" t="s">
        <v>16</v>
      </c>
      <c r="F197" s="161" t="s">
        <v>3394</v>
      </c>
      <c r="G197" t="s">
        <v>768</v>
      </c>
      <c r="H197" s="1" t="s">
        <v>3393</v>
      </c>
      <c r="I197" t="s">
        <v>769</v>
      </c>
      <c r="L197" t="s">
        <v>612</v>
      </c>
      <c r="M197" t="s">
        <v>613</v>
      </c>
      <c r="N197" t="s">
        <v>655</v>
      </c>
    </row>
    <row r="198" spans="1:15" x14ac:dyDescent="0.25">
      <c r="A198" t="s">
        <v>1171</v>
      </c>
      <c r="B198" t="s">
        <v>1172</v>
      </c>
      <c r="C198" t="s">
        <v>1171</v>
      </c>
      <c r="D198" t="s">
        <v>16</v>
      </c>
      <c r="F198" s="161" t="s">
        <v>3394</v>
      </c>
      <c r="G198" t="s">
        <v>703</v>
      </c>
      <c r="H198" s="1" t="s">
        <v>3393</v>
      </c>
      <c r="I198" t="s">
        <v>1173</v>
      </c>
      <c r="L198" t="s">
        <v>612</v>
      </c>
      <c r="M198" t="s">
        <v>613</v>
      </c>
      <c r="N198" t="s">
        <v>618</v>
      </c>
    </row>
    <row r="199" spans="1:15" x14ac:dyDescent="0.25">
      <c r="A199" t="s">
        <v>202</v>
      </c>
      <c r="B199" t="s">
        <v>1174</v>
      </c>
      <c r="C199" t="s">
        <v>202</v>
      </c>
      <c r="D199" t="s">
        <v>16</v>
      </c>
      <c r="E199" t="s">
        <v>15</v>
      </c>
      <c r="F199" s="161" t="s">
        <v>3394</v>
      </c>
      <c r="G199" t="s">
        <v>168</v>
      </c>
      <c r="H199" s="1" t="s">
        <v>3393</v>
      </c>
      <c r="I199" t="s">
        <v>1175</v>
      </c>
      <c r="L199" t="s">
        <v>612</v>
      </c>
      <c r="M199" t="s">
        <v>613</v>
      </c>
      <c r="N199" t="s">
        <v>655</v>
      </c>
      <c r="O199" s="155">
        <v>46170</v>
      </c>
    </row>
    <row r="200" spans="1:15" x14ac:dyDescent="0.25">
      <c r="A200" t="s">
        <v>1178</v>
      </c>
      <c r="B200" t="s">
        <v>1179</v>
      </c>
      <c r="C200" t="s">
        <v>1178</v>
      </c>
      <c r="D200" t="s">
        <v>16</v>
      </c>
      <c r="F200" s="161" t="s">
        <v>3394</v>
      </c>
      <c r="G200" t="s">
        <v>814</v>
      </c>
      <c r="H200" s="1" t="s">
        <v>3393</v>
      </c>
      <c r="I200" t="s">
        <v>1180</v>
      </c>
      <c r="K200" t="s">
        <v>1181</v>
      </c>
      <c r="L200" t="s">
        <v>612</v>
      </c>
      <c r="M200" t="s">
        <v>613</v>
      </c>
      <c r="N200" t="s">
        <v>618</v>
      </c>
    </row>
    <row r="201" spans="1:15" x14ac:dyDescent="0.25">
      <c r="A201" t="s">
        <v>1182</v>
      </c>
      <c r="B201" t="s">
        <v>1183</v>
      </c>
      <c r="C201" t="s">
        <v>1182</v>
      </c>
      <c r="D201" t="s">
        <v>16</v>
      </c>
      <c r="F201" s="161" t="s">
        <v>3394</v>
      </c>
      <c r="G201" t="s">
        <v>168</v>
      </c>
      <c r="H201" s="1" t="s">
        <v>3393</v>
      </c>
      <c r="I201" t="s">
        <v>1184</v>
      </c>
      <c r="K201" t="s">
        <v>1185</v>
      </c>
      <c r="L201" t="s">
        <v>612</v>
      </c>
      <c r="M201" t="s">
        <v>613</v>
      </c>
      <c r="N201" t="s">
        <v>655</v>
      </c>
    </row>
    <row r="202" spans="1:15" x14ac:dyDescent="0.25">
      <c r="A202" t="s">
        <v>366</v>
      </c>
      <c r="B202" t="s">
        <v>1186</v>
      </c>
      <c r="C202" t="s">
        <v>366</v>
      </c>
      <c r="D202" t="s">
        <v>16</v>
      </c>
      <c r="E202" t="s">
        <v>15</v>
      </c>
      <c r="F202" s="161" t="s">
        <v>3394</v>
      </c>
      <c r="G202" t="s">
        <v>752</v>
      </c>
      <c r="H202" s="1" t="s">
        <v>596</v>
      </c>
      <c r="I202" t="s">
        <v>1187</v>
      </c>
      <c r="K202" t="s">
        <v>1188</v>
      </c>
      <c r="L202" t="s">
        <v>612</v>
      </c>
      <c r="M202" t="s">
        <v>613</v>
      </c>
      <c r="N202" t="s">
        <v>618</v>
      </c>
      <c r="O202" s="155">
        <v>45594</v>
      </c>
    </row>
    <row r="203" spans="1:15" x14ac:dyDescent="0.25">
      <c r="A203" t="s">
        <v>46</v>
      </c>
      <c r="B203" t="s">
        <v>1189</v>
      </c>
      <c r="C203" t="s">
        <v>46</v>
      </c>
      <c r="D203" t="s">
        <v>16</v>
      </c>
      <c r="E203" t="s">
        <v>15</v>
      </c>
      <c r="F203" s="161" t="s">
        <v>3394</v>
      </c>
      <c r="G203" t="s">
        <v>1190</v>
      </c>
      <c r="H203" s="1" t="s">
        <v>595</v>
      </c>
      <c r="I203" t="s">
        <v>1191</v>
      </c>
      <c r="K203" t="s">
        <v>1192</v>
      </c>
      <c r="L203" t="s">
        <v>612</v>
      </c>
      <c r="M203" t="s">
        <v>613</v>
      </c>
      <c r="N203" t="s">
        <v>618</v>
      </c>
      <c r="O203" s="155">
        <v>46113</v>
      </c>
    </row>
    <row r="204" spans="1:15" x14ac:dyDescent="0.25">
      <c r="A204" t="s">
        <v>1194</v>
      </c>
      <c r="B204" t="s">
        <v>1195</v>
      </c>
      <c r="C204" t="s">
        <v>1194</v>
      </c>
      <c r="D204" t="s">
        <v>16</v>
      </c>
      <c r="F204" s="161" t="s">
        <v>3394</v>
      </c>
      <c r="G204" t="s">
        <v>616</v>
      </c>
      <c r="H204" s="1" t="s">
        <v>3393</v>
      </c>
      <c r="I204" t="s">
        <v>1063</v>
      </c>
      <c r="L204" t="s">
        <v>612</v>
      </c>
      <c r="M204" t="s">
        <v>613</v>
      </c>
      <c r="N204" t="s">
        <v>618</v>
      </c>
    </row>
    <row r="205" spans="1:15" x14ac:dyDescent="0.25">
      <c r="A205" t="s">
        <v>1196</v>
      </c>
      <c r="B205" t="s">
        <v>1197</v>
      </c>
      <c r="C205" t="s">
        <v>1196</v>
      </c>
      <c r="D205" t="s">
        <v>16</v>
      </c>
      <c r="F205" s="161" t="s">
        <v>3394</v>
      </c>
      <c r="G205" t="s">
        <v>752</v>
      </c>
      <c r="H205" s="1" t="s">
        <v>3393</v>
      </c>
      <c r="I205" t="s">
        <v>1198</v>
      </c>
      <c r="K205" t="s">
        <v>1199</v>
      </c>
      <c r="L205" t="s">
        <v>612</v>
      </c>
      <c r="M205" t="s">
        <v>613</v>
      </c>
      <c r="N205" t="s">
        <v>618</v>
      </c>
    </row>
    <row r="206" spans="1:15" x14ac:dyDescent="0.25">
      <c r="A206" t="s">
        <v>1203</v>
      </c>
      <c r="B206" t="s">
        <v>1204</v>
      </c>
      <c r="C206" t="s">
        <v>1203</v>
      </c>
      <c r="D206" t="s">
        <v>16</v>
      </c>
      <c r="F206" s="161" t="s">
        <v>3394</v>
      </c>
      <c r="G206" t="s">
        <v>1205</v>
      </c>
      <c r="H206" s="1" t="s">
        <v>3393</v>
      </c>
      <c r="I206" t="s">
        <v>1206</v>
      </c>
      <c r="K206" t="s">
        <v>1207</v>
      </c>
      <c r="L206" t="s">
        <v>612</v>
      </c>
      <c r="M206" t="s">
        <v>613</v>
      </c>
      <c r="N206" t="s">
        <v>655</v>
      </c>
    </row>
    <row r="207" spans="1:15" x14ac:dyDescent="0.25">
      <c r="A207" t="s">
        <v>483</v>
      </c>
      <c r="B207" t="s">
        <v>1210</v>
      </c>
      <c r="C207" t="s">
        <v>483</v>
      </c>
      <c r="D207" t="s">
        <v>16</v>
      </c>
      <c r="E207" t="s">
        <v>15</v>
      </c>
      <c r="F207" s="161" t="s">
        <v>3394</v>
      </c>
      <c r="G207" t="s">
        <v>744</v>
      </c>
      <c r="H207" s="1" t="s">
        <v>587</v>
      </c>
      <c r="I207" t="s">
        <v>877</v>
      </c>
      <c r="K207" t="s">
        <v>1211</v>
      </c>
      <c r="L207" t="s">
        <v>612</v>
      </c>
      <c r="M207" t="s">
        <v>613</v>
      </c>
      <c r="N207" t="s">
        <v>618</v>
      </c>
      <c r="O207" s="155">
        <v>45713</v>
      </c>
    </row>
    <row r="208" spans="1:15" x14ac:dyDescent="0.25">
      <c r="A208" t="s">
        <v>1212</v>
      </c>
      <c r="B208" t="s">
        <v>1213</v>
      </c>
      <c r="C208" t="s">
        <v>1212</v>
      </c>
      <c r="D208" t="s">
        <v>16</v>
      </c>
      <c r="F208" s="161" t="s">
        <v>3394</v>
      </c>
      <c r="G208" t="s">
        <v>1190</v>
      </c>
      <c r="H208" s="1" t="s">
        <v>3393</v>
      </c>
      <c r="I208" t="s">
        <v>1214</v>
      </c>
      <c r="L208" t="s">
        <v>612</v>
      </c>
      <c r="M208" t="s">
        <v>613</v>
      </c>
      <c r="N208" t="s">
        <v>618</v>
      </c>
    </row>
    <row r="209" spans="1:15" x14ac:dyDescent="0.25">
      <c r="A209" t="s">
        <v>1215</v>
      </c>
      <c r="B209" t="s">
        <v>1216</v>
      </c>
      <c r="C209" t="s">
        <v>1215</v>
      </c>
      <c r="D209" t="s">
        <v>16</v>
      </c>
      <c r="F209" s="161" t="s">
        <v>3394</v>
      </c>
      <c r="G209" t="s">
        <v>744</v>
      </c>
      <c r="H209" s="1" t="s">
        <v>3393</v>
      </c>
      <c r="I209" t="s">
        <v>1217</v>
      </c>
      <c r="K209" t="s">
        <v>1218</v>
      </c>
      <c r="L209" t="s">
        <v>612</v>
      </c>
      <c r="M209" t="s">
        <v>613</v>
      </c>
      <c r="N209" t="s">
        <v>618</v>
      </c>
    </row>
    <row r="210" spans="1:15" x14ac:dyDescent="0.25">
      <c r="A210" t="s">
        <v>1219</v>
      </c>
      <c r="B210" t="s">
        <v>1220</v>
      </c>
      <c r="C210" t="s">
        <v>1219</v>
      </c>
      <c r="D210" t="s">
        <v>16</v>
      </c>
      <c r="F210" s="161" t="s">
        <v>3394</v>
      </c>
      <c r="G210" t="s">
        <v>700</v>
      </c>
      <c r="H210" s="1" t="s">
        <v>3393</v>
      </c>
      <c r="I210" t="s">
        <v>977</v>
      </c>
      <c r="L210" t="s">
        <v>612</v>
      </c>
      <c r="M210" t="s">
        <v>613</v>
      </c>
      <c r="N210" t="s">
        <v>618</v>
      </c>
    </row>
    <row r="211" spans="1:15" x14ac:dyDescent="0.25">
      <c r="A211" t="s">
        <v>1221</v>
      </c>
      <c r="B211" t="s">
        <v>1222</v>
      </c>
      <c r="C211" t="s">
        <v>1221</v>
      </c>
      <c r="D211" t="s">
        <v>16</v>
      </c>
      <c r="F211" s="161" t="s">
        <v>3394</v>
      </c>
      <c r="G211" t="s">
        <v>700</v>
      </c>
      <c r="H211" s="1" t="s">
        <v>3393</v>
      </c>
      <c r="I211" t="s">
        <v>1223</v>
      </c>
      <c r="K211" t="s">
        <v>1224</v>
      </c>
      <c r="L211" t="s">
        <v>612</v>
      </c>
      <c r="M211" t="s">
        <v>613</v>
      </c>
      <c r="N211" t="s">
        <v>618</v>
      </c>
    </row>
    <row r="212" spans="1:15" x14ac:dyDescent="0.25">
      <c r="A212" t="s">
        <v>1229</v>
      </c>
      <c r="B212" t="s">
        <v>1230</v>
      </c>
      <c r="C212" t="s">
        <v>1229</v>
      </c>
      <c r="D212" t="s">
        <v>16</v>
      </c>
      <c r="F212" s="161" t="s">
        <v>3394</v>
      </c>
      <c r="G212" t="s">
        <v>744</v>
      </c>
      <c r="H212" s="1" t="s">
        <v>3393</v>
      </c>
      <c r="I212" t="s">
        <v>1231</v>
      </c>
      <c r="L212" t="s">
        <v>612</v>
      </c>
      <c r="M212" t="s">
        <v>613</v>
      </c>
      <c r="N212" t="s">
        <v>618</v>
      </c>
    </row>
    <row r="213" spans="1:15" x14ac:dyDescent="0.25">
      <c r="A213" t="s">
        <v>94</v>
      </c>
      <c r="B213" t="s">
        <v>1232</v>
      </c>
      <c r="C213" t="s">
        <v>94</v>
      </c>
      <c r="D213" t="s">
        <v>16</v>
      </c>
      <c r="E213" t="s">
        <v>15</v>
      </c>
      <c r="F213" s="161" t="s">
        <v>3394</v>
      </c>
      <c r="G213" t="s">
        <v>768</v>
      </c>
      <c r="H213" s="1" t="s">
        <v>3393</v>
      </c>
      <c r="I213" t="s">
        <v>769</v>
      </c>
      <c r="K213" t="s">
        <v>1233</v>
      </c>
      <c r="L213" t="s">
        <v>612</v>
      </c>
      <c r="M213" t="s">
        <v>613</v>
      </c>
      <c r="N213" t="s">
        <v>655</v>
      </c>
      <c r="O213" s="155">
        <v>45828</v>
      </c>
    </row>
    <row r="214" spans="1:15" x14ac:dyDescent="0.25">
      <c r="A214" t="s">
        <v>389</v>
      </c>
      <c r="B214" t="s">
        <v>1234</v>
      </c>
      <c r="C214" t="s">
        <v>389</v>
      </c>
      <c r="D214" t="s">
        <v>16</v>
      </c>
      <c r="E214" t="s">
        <v>15</v>
      </c>
      <c r="F214" s="161" t="s">
        <v>3394</v>
      </c>
      <c r="G214" t="s">
        <v>1235</v>
      </c>
      <c r="H214" s="1" t="s">
        <v>111</v>
      </c>
      <c r="I214" t="s">
        <v>877</v>
      </c>
      <c r="L214" t="s">
        <v>612</v>
      </c>
      <c r="M214" t="s">
        <v>613</v>
      </c>
      <c r="N214" t="s">
        <v>618</v>
      </c>
      <c r="O214" s="155">
        <v>45530</v>
      </c>
    </row>
    <row r="215" spans="1:15" x14ac:dyDescent="0.25">
      <c r="A215" t="s">
        <v>503</v>
      </c>
      <c r="B215" t="s">
        <v>1239</v>
      </c>
      <c r="C215" t="s">
        <v>503</v>
      </c>
      <c r="D215" t="s">
        <v>16</v>
      </c>
      <c r="E215" t="s">
        <v>15</v>
      </c>
      <c r="F215" s="161" t="s">
        <v>3394</v>
      </c>
      <c r="G215" t="s">
        <v>1240</v>
      </c>
      <c r="H215" s="1" t="s">
        <v>593</v>
      </c>
      <c r="I215" t="s">
        <v>1241</v>
      </c>
      <c r="K215" t="s">
        <v>1242</v>
      </c>
      <c r="L215" t="s">
        <v>612</v>
      </c>
      <c r="M215" t="s">
        <v>613</v>
      </c>
      <c r="N215" t="s">
        <v>618</v>
      </c>
      <c r="O215" s="155">
        <v>45151</v>
      </c>
    </row>
    <row r="216" spans="1:15" x14ac:dyDescent="0.25">
      <c r="A216" t="s">
        <v>449</v>
      </c>
      <c r="B216" t="s">
        <v>1243</v>
      </c>
      <c r="C216" t="s">
        <v>449</v>
      </c>
      <c r="D216" t="s">
        <v>16</v>
      </c>
      <c r="E216" t="s">
        <v>15</v>
      </c>
      <c r="F216" s="161" t="s">
        <v>3394</v>
      </c>
      <c r="G216" t="s">
        <v>1244</v>
      </c>
      <c r="H216" s="1" t="s">
        <v>594</v>
      </c>
      <c r="I216" t="s">
        <v>1245</v>
      </c>
      <c r="K216" t="s">
        <v>1246</v>
      </c>
      <c r="L216" t="s">
        <v>612</v>
      </c>
      <c r="M216" t="s">
        <v>613</v>
      </c>
      <c r="N216" t="s">
        <v>618</v>
      </c>
      <c r="O216" s="155">
        <v>45819</v>
      </c>
    </row>
    <row r="217" spans="1:15" x14ac:dyDescent="0.25">
      <c r="A217" t="s">
        <v>429</v>
      </c>
      <c r="B217" t="s">
        <v>1247</v>
      </c>
      <c r="C217" t="s">
        <v>429</v>
      </c>
      <c r="D217" t="s">
        <v>16</v>
      </c>
      <c r="E217" t="s">
        <v>19</v>
      </c>
      <c r="F217" s="161" t="s">
        <v>3394</v>
      </c>
      <c r="G217" t="s">
        <v>700</v>
      </c>
      <c r="H217" s="1" t="s">
        <v>587</v>
      </c>
      <c r="I217" t="s">
        <v>1248</v>
      </c>
      <c r="L217" t="s">
        <v>612</v>
      </c>
      <c r="M217" t="s">
        <v>613</v>
      </c>
      <c r="N217" t="s">
        <v>618</v>
      </c>
      <c r="O217" s="155" t="s">
        <v>148</v>
      </c>
    </row>
    <row r="218" spans="1:15" x14ac:dyDescent="0.25">
      <c r="A218" t="s">
        <v>31</v>
      </c>
      <c r="B218" t="s">
        <v>1249</v>
      </c>
      <c r="C218" t="s">
        <v>31</v>
      </c>
      <c r="D218" t="s">
        <v>16</v>
      </c>
      <c r="E218" t="s">
        <v>15</v>
      </c>
      <c r="F218" s="161" t="s">
        <v>3394</v>
      </c>
      <c r="G218" t="s">
        <v>814</v>
      </c>
      <c r="H218" s="1" t="s">
        <v>587</v>
      </c>
      <c r="I218" t="s">
        <v>1250</v>
      </c>
      <c r="K218" t="s">
        <v>1251</v>
      </c>
      <c r="L218" t="s">
        <v>612</v>
      </c>
      <c r="M218" t="s">
        <v>613</v>
      </c>
      <c r="N218" t="s">
        <v>618</v>
      </c>
      <c r="O218" s="155">
        <v>46183</v>
      </c>
    </row>
    <row r="219" spans="1:15" x14ac:dyDescent="0.25">
      <c r="A219" t="s">
        <v>1252</v>
      </c>
      <c r="B219" t="s">
        <v>1253</v>
      </c>
      <c r="C219" t="s">
        <v>1252</v>
      </c>
      <c r="D219" t="s">
        <v>16</v>
      </c>
      <c r="F219" s="161" t="s">
        <v>3394</v>
      </c>
      <c r="H219" s="1" t="s">
        <v>3393</v>
      </c>
      <c r="K219" t="s">
        <v>1254</v>
      </c>
      <c r="L219" t="s">
        <v>612</v>
      </c>
      <c r="M219" t="s">
        <v>613</v>
      </c>
      <c r="N219" t="s">
        <v>655</v>
      </c>
    </row>
    <row r="220" spans="1:15" x14ac:dyDescent="0.25">
      <c r="A220" t="s">
        <v>1255</v>
      </c>
      <c r="B220" t="s">
        <v>1256</v>
      </c>
      <c r="C220" t="s">
        <v>1255</v>
      </c>
      <c r="D220" t="s">
        <v>16</v>
      </c>
      <c r="F220" s="161" t="s">
        <v>3394</v>
      </c>
      <c r="G220" t="s">
        <v>876</v>
      </c>
      <c r="H220" s="1" t="s">
        <v>3393</v>
      </c>
      <c r="I220" t="s">
        <v>1257</v>
      </c>
      <c r="K220" t="s">
        <v>1258</v>
      </c>
      <c r="L220" t="s">
        <v>612</v>
      </c>
      <c r="M220" t="s">
        <v>613</v>
      </c>
      <c r="N220" t="s">
        <v>618</v>
      </c>
    </row>
    <row r="221" spans="1:15" x14ac:dyDescent="0.25">
      <c r="A221" t="s">
        <v>533</v>
      </c>
      <c r="B221" t="s">
        <v>1259</v>
      </c>
      <c r="C221" t="s">
        <v>533</v>
      </c>
      <c r="D221" t="s">
        <v>16</v>
      </c>
      <c r="E221" t="s">
        <v>15</v>
      </c>
      <c r="F221" s="161" t="s">
        <v>3394</v>
      </c>
      <c r="G221" t="s">
        <v>925</v>
      </c>
      <c r="H221" s="1" t="s">
        <v>593</v>
      </c>
      <c r="I221" t="s">
        <v>1260</v>
      </c>
      <c r="K221" t="s">
        <v>1261</v>
      </c>
      <c r="L221" t="s">
        <v>612</v>
      </c>
      <c r="M221" t="s">
        <v>613</v>
      </c>
      <c r="N221" t="s">
        <v>618</v>
      </c>
      <c r="O221" s="155">
        <v>45151</v>
      </c>
    </row>
    <row r="222" spans="1:15" x14ac:dyDescent="0.25">
      <c r="A222" t="s">
        <v>1266</v>
      </c>
      <c r="B222" t="s">
        <v>1267</v>
      </c>
      <c r="C222" t="s">
        <v>1266</v>
      </c>
      <c r="D222" t="s">
        <v>16</v>
      </c>
      <c r="F222" s="161" t="s">
        <v>3394</v>
      </c>
      <c r="H222" s="1" t="s">
        <v>3393</v>
      </c>
      <c r="K222" t="s">
        <v>1268</v>
      </c>
      <c r="L222" t="s">
        <v>612</v>
      </c>
      <c r="M222" t="s">
        <v>613</v>
      </c>
      <c r="N222" t="s">
        <v>655</v>
      </c>
    </row>
    <row r="223" spans="1:15" x14ac:dyDescent="0.25">
      <c r="A223" t="s">
        <v>1269</v>
      </c>
      <c r="B223" t="s">
        <v>1270</v>
      </c>
      <c r="C223" t="s">
        <v>1269</v>
      </c>
      <c r="D223" t="s">
        <v>16</v>
      </c>
      <c r="F223" s="161" t="s">
        <v>3394</v>
      </c>
      <c r="G223" t="s">
        <v>749</v>
      </c>
      <c r="H223" s="1" t="s">
        <v>3393</v>
      </c>
      <c r="I223" t="s">
        <v>1271</v>
      </c>
      <c r="L223" t="s">
        <v>612</v>
      </c>
      <c r="M223" t="s">
        <v>613</v>
      </c>
      <c r="N223" t="s">
        <v>618</v>
      </c>
    </row>
    <row r="224" spans="1:15" x14ac:dyDescent="0.25">
      <c r="A224" t="s">
        <v>55</v>
      </c>
      <c r="B224" t="s">
        <v>1272</v>
      </c>
      <c r="C224" t="s">
        <v>55</v>
      </c>
      <c r="D224" t="s">
        <v>16</v>
      </c>
      <c r="E224" t="s">
        <v>19</v>
      </c>
      <c r="F224" s="161" t="s">
        <v>3394</v>
      </c>
      <c r="G224" t="s">
        <v>700</v>
      </c>
      <c r="H224" s="1" t="s">
        <v>587</v>
      </c>
      <c r="I224" t="s">
        <v>1073</v>
      </c>
      <c r="K224" t="s">
        <v>1273</v>
      </c>
      <c r="L224" t="s">
        <v>612</v>
      </c>
      <c r="M224" t="s">
        <v>613</v>
      </c>
      <c r="N224" t="s">
        <v>618</v>
      </c>
      <c r="O224" s="155">
        <v>0</v>
      </c>
    </row>
    <row r="225" spans="1:15" x14ac:dyDescent="0.25">
      <c r="A225" t="s">
        <v>1274</v>
      </c>
      <c r="B225" t="s">
        <v>1275</v>
      </c>
      <c r="C225" t="s">
        <v>1274</v>
      </c>
      <c r="D225" t="s">
        <v>16</v>
      </c>
      <c r="F225" s="161" t="s">
        <v>3394</v>
      </c>
      <c r="G225" t="s">
        <v>616</v>
      </c>
      <c r="H225" s="1" t="s">
        <v>3393</v>
      </c>
      <c r="I225" t="s">
        <v>756</v>
      </c>
      <c r="L225" t="s">
        <v>612</v>
      </c>
      <c r="M225" t="s">
        <v>613</v>
      </c>
      <c r="N225" t="s">
        <v>618</v>
      </c>
    </row>
    <row r="226" spans="1:15" x14ac:dyDescent="0.25">
      <c r="A226" t="s">
        <v>1276</v>
      </c>
      <c r="B226" t="s">
        <v>1277</v>
      </c>
      <c r="C226" t="s">
        <v>1276</v>
      </c>
      <c r="D226" t="s">
        <v>16</v>
      </c>
      <c r="F226" s="161" t="s">
        <v>3394</v>
      </c>
      <c r="G226" t="s">
        <v>1278</v>
      </c>
      <c r="H226" s="1" t="s">
        <v>3393</v>
      </c>
      <c r="I226" t="s">
        <v>1279</v>
      </c>
      <c r="K226" t="s">
        <v>1280</v>
      </c>
      <c r="L226" t="s">
        <v>612</v>
      </c>
      <c r="M226" t="s">
        <v>613</v>
      </c>
      <c r="N226" t="s">
        <v>618</v>
      </c>
    </row>
    <row r="227" spans="1:15" x14ac:dyDescent="0.25">
      <c r="A227" t="s">
        <v>353</v>
      </c>
      <c r="B227" t="s">
        <v>1281</v>
      </c>
      <c r="C227" t="s">
        <v>353</v>
      </c>
      <c r="D227" t="s">
        <v>16</v>
      </c>
      <c r="E227" t="s">
        <v>15</v>
      </c>
      <c r="F227" s="161" t="s">
        <v>3394</v>
      </c>
      <c r="G227" t="s">
        <v>768</v>
      </c>
      <c r="H227" s="1" t="s">
        <v>3393</v>
      </c>
      <c r="I227" t="s">
        <v>769</v>
      </c>
      <c r="K227" t="s">
        <v>1282</v>
      </c>
      <c r="L227" t="s">
        <v>612</v>
      </c>
      <c r="M227" t="s">
        <v>613</v>
      </c>
      <c r="N227" t="s">
        <v>655</v>
      </c>
      <c r="O227" s="155">
        <v>0</v>
      </c>
    </row>
    <row r="228" spans="1:15" x14ac:dyDescent="0.25">
      <c r="A228" t="s">
        <v>1283</v>
      </c>
      <c r="B228" t="s">
        <v>1284</v>
      </c>
      <c r="C228" t="s">
        <v>1283</v>
      </c>
      <c r="D228" t="s">
        <v>16</v>
      </c>
      <c r="F228" s="161" t="s">
        <v>3394</v>
      </c>
      <c r="G228" t="s">
        <v>616</v>
      </c>
      <c r="H228" s="1" t="s">
        <v>3393</v>
      </c>
      <c r="I228" t="s">
        <v>1285</v>
      </c>
      <c r="K228" t="s">
        <v>1286</v>
      </c>
      <c r="L228" t="s">
        <v>612</v>
      </c>
      <c r="M228" t="s">
        <v>613</v>
      </c>
      <c r="N228" t="s">
        <v>618</v>
      </c>
    </row>
    <row r="229" spans="1:15" x14ac:dyDescent="0.25">
      <c r="A229" t="s">
        <v>1287</v>
      </c>
      <c r="B229" t="s">
        <v>1288</v>
      </c>
      <c r="C229" t="s">
        <v>1287</v>
      </c>
      <c r="D229" t="s">
        <v>16</v>
      </c>
      <c r="F229" s="161" t="s">
        <v>3394</v>
      </c>
      <c r="G229" t="s">
        <v>168</v>
      </c>
      <c r="H229" s="1" t="s">
        <v>3393</v>
      </c>
      <c r="I229" t="s">
        <v>1289</v>
      </c>
      <c r="K229" t="s">
        <v>1290</v>
      </c>
      <c r="L229" t="s">
        <v>612</v>
      </c>
      <c r="M229" t="s">
        <v>613</v>
      </c>
      <c r="N229" t="s">
        <v>618</v>
      </c>
    </row>
    <row r="230" spans="1:15" x14ac:dyDescent="0.25">
      <c r="A230" t="s">
        <v>467</v>
      </c>
      <c r="B230" t="s">
        <v>1291</v>
      </c>
      <c r="C230" t="s">
        <v>467</v>
      </c>
      <c r="D230" t="s">
        <v>16</v>
      </c>
      <c r="E230" t="s">
        <v>15</v>
      </c>
      <c r="F230" s="161" t="s">
        <v>3394</v>
      </c>
      <c r="G230" t="s">
        <v>752</v>
      </c>
      <c r="H230" s="1" t="s">
        <v>596</v>
      </c>
      <c r="I230" t="s">
        <v>1292</v>
      </c>
      <c r="L230" t="s">
        <v>612</v>
      </c>
      <c r="M230" t="s">
        <v>613</v>
      </c>
      <c r="N230" t="s">
        <v>618</v>
      </c>
      <c r="O230" s="155">
        <v>45546</v>
      </c>
    </row>
    <row r="231" spans="1:15" x14ac:dyDescent="0.25">
      <c r="A231" t="s">
        <v>558</v>
      </c>
      <c r="B231" t="s">
        <v>1293</v>
      </c>
      <c r="C231" t="s">
        <v>558</v>
      </c>
      <c r="D231" t="s">
        <v>16</v>
      </c>
      <c r="E231" t="s">
        <v>15</v>
      </c>
      <c r="F231" s="161" t="s">
        <v>3394</v>
      </c>
      <c r="G231" t="s">
        <v>744</v>
      </c>
      <c r="H231" s="1" t="s">
        <v>590</v>
      </c>
      <c r="I231" t="s">
        <v>1294</v>
      </c>
      <c r="K231" t="s">
        <v>1295</v>
      </c>
      <c r="L231" t="s">
        <v>612</v>
      </c>
      <c r="M231" t="s">
        <v>613</v>
      </c>
      <c r="N231" t="s">
        <v>618</v>
      </c>
      <c r="O231" s="155">
        <v>45216</v>
      </c>
    </row>
    <row r="232" spans="1:15" x14ac:dyDescent="0.25">
      <c r="A232" t="s">
        <v>317</v>
      </c>
      <c r="B232" t="s">
        <v>1300</v>
      </c>
      <c r="C232" t="s">
        <v>317</v>
      </c>
      <c r="D232" t="s">
        <v>16</v>
      </c>
      <c r="E232" t="s">
        <v>15</v>
      </c>
      <c r="F232" s="161" t="s">
        <v>3394</v>
      </c>
      <c r="G232" t="s">
        <v>1301</v>
      </c>
      <c r="H232" s="1" t="s">
        <v>3393</v>
      </c>
      <c r="I232" t="s">
        <v>1302</v>
      </c>
      <c r="L232" t="s">
        <v>612</v>
      </c>
      <c r="M232" t="s">
        <v>613</v>
      </c>
      <c r="N232" t="s">
        <v>655</v>
      </c>
      <c r="O232" s="155">
        <v>46149</v>
      </c>
    </row>
    <row r="233" spans="1:15" x14ac:dyDescent="0.25">
      <c r="A233" t="s">
        <v>138</v>
      </c>
      <c r="B233" t="s">
        <v>1303</v>
      </c>
      <c r="C233" t="s">
        <v>138</v>
      </c>
      <c r="D233" t="s">
        <v>16</v>
      </c>
      <c r="E233" t="s">
        <v>15</v>
      </c>
      <c r="F233" s="161" t="s">
        <v>3394</v>
      </c>
      <c r="G233" t="s">
        <v>653</v>
      </c>
      <c r="H233" s="1" t="s">
        <v>3393</v>
      </c>
      <c r="I233" t="s">
        <v>1304</v>
      </c>
      <c r="K233" t="s">
        <v>1305</v>
      </c>
      <c r="L233" t="s">
        <v>612</v>
      </c>
      <c r="M233" t="s">
        <v>613</v>
      </c>
      <c r="N233" t="s">
        <v>655</v>
      </c>
      <c r="O233" s="155">
        <v>45793</v>
      </c>
    </row>
    <row r="234" spans="1:15" x14ac:dyDescent="0.25">
      <c r="A234" t="s">
        <v>1306</v>
      </c>
      <c r="B234" t="s">
        <v>1307</v>
      </c>
      <c r="C234" t="s">
        <v>1306</v>
      </c>
      <c r="D234" t="s">
        <v>16</v>
      </c>
      <c r="F234" s="161" t="s">
        <v>3394</v>
      </c>
      <c r="G234" t="s">
        <v>775</v>
      </c>
      <c r="H234" s="1" t="s">
        <v>3393</v>
      </c>
      <c r="I234" t="s">
        <v>769</v>
      </c>
      <c r="K234" t="s">
        <v>1308</v>
      </c>
      <c r="L234" t="s">
        <v>612</v>
      </c>
      <c r="M234" t="s">
        <v>613</v>
      </c>
      <c r="N234" t="s">
        <v>655</v>
      </c>
    </row>
    <row r="235" spans="1:15" x14ac:dyDescent="0.25">
      <c r="A235" t="s">
        <v>511</v>
      </c>
      <c r="B235" t="s">
        <v>1309</v>
      </c>
      <c r="C235" t="s">
        <v>511</v>
      </c>
      <c r="D235" t="s">
        <v>16</v>
      </c>
      <c r="E235" t="s">
        <v>15</v>
      </c>
      <c r="F235" s="161" t="s">
        <v>3394</v>
      </c>
      <c r="G235" t="s">
        <v>616</v>
      </c>
      <c r="H235" s="1" t="s">
        <v>593</v>
      </c>
      <c r="I235" t="s">
        <v>1310</v>
      </c>
      <c r="K235" t="s">
        <v>1311</v>
      </c>
      <c r="L235" t="s">
        <v>612</v>
      </c>
      <c r="M235" t="s">
        <v>613</v>
      </c>
      <c r="N235" t="s">
        <v>618</v>
      </c>
      <c r="O235" s="155">
        <v>45151</v>
      </c>
    </row>
    <row r="236" spans="1:15" x14ac:dyDescent="0.25">
      <c r="A236" t="s">
        <v>371</v>
      </c>
      <c r="B236" t="s">
        <v>1312</v>
      </c>
      <c r="C236" t="s">
        <v>371</v>
      </c>
      <c r="D236" t="s">
        <v>16</v>
      </c>
      <c r="E236" t="s">
        <v>15</v>
      </c>
      <c r="F236" s="161" t="s">
        <v>3394</v>
      </c>
      <c r="G236" t="s">
        <v>752</v>
      </c>
      <c r="H236" s="1" t="s">
        <v>596</v>
      </c>
      <c r="I236" t="s">
        <v>1313</v>
      </c>
      <c r="K236" t="s">
        <v>1314</v>
      </c>
      <c r="L236" t="s">
        <v>612</v>
      </c>
      <c r="M236" t="s">
        <v>613</v>
      </c>
      <c r="N236" t="s">
        <v>618</v>
      </c>
      <c r="O236" s="155">
        <v>45699</v>
      </c>
    </row>
    <row r="237" spans="1:15" x14ac:dyDescent="0.25">
      <c r="A237" t="s">
        <v>1315</v>
      </c>
      <c r="B237" t="s">
        <v>1316</v>
      </c>
      <c r="C237" t="s">
        <v>1315</v>
      </c>
      <c r="D237" t="s">
        <v>16</v>
      </c>
      <c r="F237" s="161" t="s">
        <v>3394</v>
      </c>
      <c r="G237" t="s">
        <v>621</v>
      </c>
      <c r="H237" s="1" t="s">
        <v>3393</v>
      </c>
      <c r="I237" t="s">
        <v>1317</v>
      </c>
      <c r="K237" t="s">
        <v>1318</v>
      </c>
      <c r="L237" t="s">
        <v>612</v>
      </c>
      <c r="M237" t="s">
        <v>613</v>
      </c>
      <c r="N237" t="s">
        <v>618</v>
      </c>
    </row>
    <row r="238" spans="1:15" x14ac:dyDescent="0.25">
      <c r="A238" t="s">
        <v>555</v>
      </c>
      <c r="B238" t="s">
        <v>1319</v>
      </c>
      <c r="C238" t="s">
        <v>555</v>
      </c>
      <c r="D238" t="s">
        <v>16</v>
      </c>
      <c r="E238" t="s">
        <v>15</v>
      </c>
      <c r="F238" s="161" t="s">
        <v>3394</v>
      </c>
      <c r="G238" t="s">
        <v>752</v>
      </c>
      <c r="H238" s="1" t="s">
        <v>596</v>
      </c>
      <c r="I238" t="s">
        <v>1320</v>
      </c>
      <c r="K238" t="s">
        <v>1321</v>
      </c>
      <c r="L238" t="s">
        <v>612</v>
      </c>
      <c r="M238" t="s">
        <v>613</v>
      </c>
      <c r="N238" t="s">
        <v>618</v>
      </c>
      <c r="O238" s="155">
        <v>45216</v>
      </c>
    </row>
    <row r="239" spans="1:15" x14ac:dyDescent="0.25">
      <c r="A239" t="s">
        <v>1322</v>
      </c>
      <c r="B239" t="s">
        <v>1323</v>
      </c>
      <c r="C239" t="s">
        <v>1322</v>
      </c>
      <c r="D239" t="s">
        <v>16</v>
      </c>
      <c r="F239" s="161" t="s">
        <v>3394</v>
      </c>
      <c r="G239" t="s">
        <v>168</v>
      </c>
      <c r="H239" s="1" t="s">
        <v>3393</v>
      </c>
      <c r="I239" t="s">
        <v>1324</v>
      </c>
      <c r="L239" t="s">
        <v>612</v>
      </c>
      <c r="M239" t="s">
        <v>613</v>
      </c>
      <c r="N239" t="s">
        <v>655</v>
      </c>
    </row>
    <row r="240" spans="1:15" x14ac:dyDescent="0.25">
      <c r="A240" t="s">
        <v>1332</v>
      </c>
      <c r="B240" t="s">
        <v>1333</v>
      </c>
      <c r="C240" t="s">
        <v>1332</v>
      </c>
      <c r="D240" t="s">
        <v>16</v>
      </c>
      <c r="F240" s="161" t="s">
        <v>3394</v>
      </c>
      <c r="G240" t="s">
        <v>744</v>
      </c>
      <c r="H240" s="1" t="s">
        <v>3393</v>
      </c>
      <c r="I240" t="s">
        <v>1334</v>
      </c>
      <c r="L240" t="s">
        <v>612</v>
      </c>
      <c r="M240" t="s">
        <v>613</v>
      </c>
      <c r="N240" t="s">
        <v>618</v>
      </c>
    </row>
    <row r="241" spans="1:15" x14ac:dyDescent="0.25">
      <c r="A241" t="s">
        <v>1335</v>
      </c>
      <c r="B241" t="s">
        <v>1336</v>
      </c>
      <c r="C241" t="s">
        <v>1335</v>
      </c>
      <c r="D241" t="s">
        <v>16</v>
      </c>
      <c r="F241" s="161" t="s">
        <v>3394</v>
      </c>
      <c r="G241" t="s">
        <v>836</v>
      </c>
      <c r="H241" s="1" t="s">
        <v>3393</v>
      </c>
      <c r="I241" t="s">
        <v>791</v>
      </c>
      <c r="K241" t="s">
        <v>1337</v>
      </c>
      <c r="L241" t="s">
        <v>612</v>
      </c>
      <c r="M241" t="s">
        <v>613</v>
      </c>
      <c r="N241" t="s">
        <v>655</v>
      </c>
    </row>
    <row r="242" spans="1:15" x14ac:dyDescent="0.25">
      <c r="A242" t="s">
        <v>1341</v>
      </c>
      <c r="B242" t="s">
        <v>1342</v>
      </c>
      <c r="C242" t="s">
        <v>1341</v>
      </c>
      <c r="D242" t="s">
        <v>16</v>
      </c>
      <c r="F242" s="161" t="s">
        <v>3394</v>
      </c>
      <c r="G242" t="s">
        <v>749</v>
      </c>
      <c r="H242" s="1" t="s">
        <v>3393</v>
      </c>
      <c r="I242" t="s">
        <v>1343</v>
      </c>
      <c r="L242" t="s">
        <v>612</v>
      </c>
      <c r="M242" t="s">
        <v>613</v>
      </c>
      <c r="N242" t="s">
        <v>618</v>
      </c>
    </row>
    <row r="243" spans="1:15" x14ac:dyDescent="0.25">
      <c r="A243" t="s">
        <v>1344</v>
      </c>
      <c r="B243" t="s">
        <v>1345</v>
      </c>
      <c r="C243" t="s">
        <v>1344</v>
      </c>
      <c r="D243" t="s">
        <v>16</v>
      </c>
      <c r="F243" s="161" t="s">
        <v>3394</v>
      </c>
      <c r="G243" t="s">
        <v>1346</v>
      </c>
      <c r="H243" s="1" t="s">
        <v>3393</v>
      </c>
      <c r="I243" t="s">
        <v>1214</v>
      </c>
      <c r="L243" t="s">
        <v>612</v>
      </c>
      <c r="M243" t="s">
        <v>613</v>
      </c>
      <c r="N243" t="s">
        <v>618</v>
      </c>
    </row>
    <row r="244" spans="1:15" x14ac:dyDescent="0.25">
      <c r="A244" t="s">
        <v>166</v>
      </c>
      <c r="B244" t="s">
        <v>1347</v>
      </c>
      <c r="C244" t="s">
        <v>166</v>
      </c>
      <c r="D244" t="s">
        <v>16</v>
      </c>
      <c r="E244" t="s">
        <v>15</v>
      </c>
      <c r="F244" s="161" t="s">
        <v>3394</v>
      </c>
      <c r="G244" t="s">
        <v>1348</v>
      </c>
      <c r="H244" s="1" t="s">
        <v>3393</v>
      </c>
      <c r="I244" t="s">
        <v>1349</v>
      </c>
      <c r="K244" t="s">
        <v>1350</v>
      </c>
      <c r="L244" t="s">
        <v>612</v>
      </c>
      <c r="M244" t="s">
        <v>613</v>
      </c>
      <c r="N244" t="s">
        <v>655</v>
      </c>
      <c r="O244" s="155">
        <v>42156</v>
      </c>
    </row>
    <row r="245" spans="1:15" x14ac:dyDescent="0.25">
      <c r="A245" t="s">
        <v>471</v>
      </c>
      <c r="B245" t="s">
        <v>1351</v>
      </c>
      <c r="C245" t="s">
        <v>471</v>
      </c>
      <c r="D245" t="s">
        <v>16</v>
      </c>
      <c r="E245" t="s">
        <v>15</v>
      </c>
      <c r="F245" s="161" t="s">
        <v>3394</v>
      </c>
      <c r="G245" t="s">
        <v>749</v>
      </c>
      <c r="H245" s="1" t="s">
        <v>594</v>
      </c>
      <c r="I245" t="s">
        <v>1352</v>
      </c>
      <c r="K245" t="s">
        <v>1353</v>
      </c>
      <c r="L245" t="s">
        <v>612</v>
      </c>
      <c r="M245" t="s">
        <v>613</v>
      </c>
      <c r="N245" t="s">
        <v>618</v>
      </c>
      <c r="O245" s="155">
        <v>45208</v>
      </c>
    </row>
    <row r="246" spans="1:15" x14ac:dyDescent="0.25">
      <c r="A246" t="s">
        <v>1364</v>
      </c>
      <c r="B246" t="s">
        <v>1365</v>
      </c>
      <c r="C246" t="s">
        <v>1364</v>
      </c>
      <c r="D246" t="s">
        <v>16</v>
      </c>
      <c r="F246" s="161" t="s">
        <v>3394</v>
      </c>
      <c r="G246" t="s">
        <v>700</v>
      </c>
      <c r="H246" s="1" t="s">
        <v>3393</v>
      </c>
      <c r="I246" t="s">
        <v>850</v>
      </c>
      <c r="K246" t="s">
        <v>1366</v>
      </c>
      <c r="L246" t="s">
        <v>612</v>
      </c>
      <c r="M246" t="s">
        <v>613</v>
      </c>
      <c r="N246" t="s">
        <v>618</v>
      </c>
    </row>
    <row r="247" spans="1:15" x14ac:dyDescent="0.25">
      <c r="A247" t="s">
        <v>319</v>
      </c>
      <c r="B247" t="s">
        <v>1367</v>
      </c>
      <c r="C247" t="s">
        <v>319</v>
      </c>
      <c r="D247" t="s">
        <v>16</v>
      </c>
      <c r="E247" t="s">
        <v>15</v>
      </c>
      <c r="F247" s="161" t="s">
        <v>3394</v>
      </c>
      <c r="G247" t="s">
        <v>1368</v>
      </c>
      <c r="H247" s="1" t="s">
        <v>3393</v>
      </c>
      <c r="I247" t="s">
        <v>1369</v>
      </c>
      <c r="K247" t="s">
        <v>1370</v>
      </c>
      <c r="L247" t="s">
        <v>612</v>
      </c>
      <c r="M247" t="s">
        <v>613</v>
      </c>
      <c r="N247" t="s">
        <v>655</v>
      </c>
      <c r="O247" s="155">
        <v>45846</v>
      </c>
    </row>
    <row r="248" spans="1:15" x14ac:dyDescent="0.25">
      <c r="A248" t="s">
        <v>217</v>
      </c>
      <c r="B248" t="s">
        <v>1375</v>
      </c>
      <c r="C248" t="s">
        <v>217</v>
      </c>
      <c r="D248" t="s">
        <v>16</v>
      </c>
      <c r="E248" t="s">
        <v>15</v>
      </c>
      <c r="F248" s="161" t="s">
        <v>3394</v>
      </c>
      <c r="G248" t="s">
        <v>768</v>
      </c>
      <c r="H248" s="1" t="s">
        <v>3393</v>
      </c>
      <c r="I248" t="s">
        <v>769</v>
      </c>
      <c r="K248" t="s">
        <v>1376</v>
      </c>
      <c r="L248" t="s">
        <v>612</v>
      </c>
      <c r="M248" t="s">
        <v>613</v>
      </c>
      <c r="N248" t="s">
        <v>655</v>
      </c>
      <c r="O248" s="155">
        <v>44958</v>
      </c>
    </row>
    <row r="249" spans="1:15" x14ac:dyDescent="0.25">
      <c r="A249" t="s">
        <v>1386</v>
      </c>
      <c r="B249" t="s">
        <v>1387</v>
      </c>
      <c r="C249" t="s">
        <v>1386</v>
      </c>
      <c r="D249" t="s">
        <v>16</v>
      </c>
      <c r="F249" s="161" t="s">
        <v>3394</v>
      </c>
      <c r="G249" t="s">
        <v>876</v>
      </c>
      <c r="H249" s="1" t="s">
        <v>3393</v>
      </c>
      <c r="I249" t="s">
        <v>877</v>
      </c>
      <c r="K249" t="s">
        <v>1388</v>
      </c>
      <c r="L249" t="s">
        <v>612</v>
      </c>
      <c r="M249" t="s">
        <v>613</v>
      </c>
      <c r="N249" t="s">
        <v>618</v>
      </c>
    </row>
    <row r="250" spans="1:15" x14ac:dyDescent="0.25">
      <c r="A250" t="s">
        <v>1392</v>
      </c>
      <c r="B250" t="s">
        <v>1393</v>
      </c>
      <c r="C250" t="s">
        <v>1392</v>
      </c>
      <c r="D250" t="s">
        <v>16</v>
      </c>
      <c r="F250" s="161" t="s">
        <v>3394</v>
      </c>
      <c r="G250" t="s">
        <v>616</v>
      </c>
      <c r="H250" s="1" t="s">
        <v>3393</v>
      </c>
      <c r="I250" t="s">
        <v>1394</v>
      </c>
      <c r="L250" t="s">
        <v>612</v>
      </c>
      <c r="M250" t="s">
        <v>613</v>
      </c>
      <c r="N250" t="s">
        <v>618</v>
      </c>
    </row>
    <row r="251" spans="1:15" x14ac:dyDescent="0.25">
      <c r="A251" t="s">
        <v>456</v>
      </c>
      <c r="B251" t="s">
        <v>1399</v>
      </c>
      <c r="C251" t="s">
        <v>456</v>
      </c>
      <c r="D251" t="s">
        <v>16</v>
      </c>
      <c r="E251" t="s">
        <v>15</v>
      </c>
      <c r="F251" s="161" t="s">
        <v>3394</v>
      </c>
      <c r="G251" t="s">
        <v>1244</v>
      </c>
      <c r="H251" s="1" t="s">
        <v>594</v>
      </c>
      <c r="I251" t="s">
        <v>1400</v>
      </c>
      <c r="K251" t="s">
        <v>1401</v>
      </c>
      <c r="L251" t="s">
        <v>612</v>
      </c>
      <c r="M251" t="s">
        <v>613</v>
      </c>
      <c r="N251" t="s">
        <v>618</v>
      </c>
      <c r="O251" s="155">
        <v>45151</v>
      </c>
    </row>
    <row r="252" spans="1:15" x14ac:dyDescent="0.25">
      <c r="A252" t="s">
        <v>1402</v>
      </c>
      <c r="B252" t="s">
        <v>1403</v>
      </c>
      <c r="C252" t="s">
        <v>1402</v>
      </c>
      <c r="D252" t="s">
        <v>16</v>
      </c>
      <c r="F252" s="161" t="s">
        <v>3394</v>
      </c>
      <c r="G252" t="s">
        <v>616</v>
      </c>
      <c r="H252" s="1" t="s">
        <v>3393</v>
      </c>
      <c r="I252" t="s">
        <v>977</v>
      </c>
      <c r="L252" t="s">
        <v>612</v>
      </c>
      <c r="M252" t="s">
        <v>613</v>
      </c>
      <c r="N252" t="s">
        <v>618</v>
      </c>
    </row>
    <row r="253" spans="1:15" x14ac:dyDescent="0.25">
      <c r="A253" t="s">
        <v>1404</v>
      </c>
      <c r="B253" t="s">
        <v>1405</v>
      </c>
      <c r="C253" t="s">
        <v>1404</v>
      </c>
      <c r="D253" t="s">
        <v>16</v>
      </c>
      <c r="F253" s="161" t="s">
        <v>3394</v>
      </c>
      <c r="G253" t="s">
        <v>1406</v>
      </c>
      <c r="H253" s="1" t="s">
        <v>3393</v>
      </c>
      <c r="I253" t="s">
        <v>1407</v>
      </c>
      <c r="K253" t="s">
        <v>1408</v>
      </c>
      <c r="L253" t="s">
        <v>612</v>
      </c>
      <c r="M253" t="s">
        <v>613</v>
      </c>
      <c r="N253" t="s">
        <v>655</v>
      </c>
    </row>
    <row r="254" spans="1:15" x14ac:dyDescent="0.25">
      <c r="A254" t="s">
        <v>1409</v>
      </c>
      <c r="B254" t="s">
        <v>1410</v>
      </c>
      <c r="C254" t="s">
        <v>1409</v>
      </c>
      <c r="D254" t="s">
        <v>16</v>
      </c>
      <c r="F254" s="161" t="s">
        <v>3394</v>
      </c>
      <c r="G254" t="s">
        <v>1411</v>
      </c>
      <c r="H254" s="1" t="s">
        <v>3393</v>
      </c>
      <c r="I254" t="s">
        <v>1412</v>
      </c>
      <c r="K254" t="s">
        <v>1413</v>
      </c>
      <c r="L254" t="s">
        <v>612</v>
      </c>
      <c r="M254" t="s">
        <v>613</v>
      </c>
      <c r="N254" t="s">
        <v>618</v>
      </c>
    </row>
    <row r="255" spans="1:15" x14ac:dyDescent="0.25">
      <c r="A255" t="s">
        <v>1414</v>
      </c>
      <c r="B255" t="s">
        <v>1415</v>
      </c>
      <c r="C255" t="s">
        <v>1414</v>
      </c>
      <c r="D255" t="s">
        <v>16</v>
      </c>
      <c r="F255" s="161" t="s">
        <v>3394</v>
      </c>
      <c r="G255" t="s">
        <v>67</v>
      </c>
      <c r="H255" s="1" t="s">
        <v>3393</v>
      </c>
      <c r="I255" t="s">
        <v>1416</v>
      </c>
      <c r="K255" t="s">
        <v>1417</v>
      </c>
      <c r="L255" t="s">
        <v>612</v>
      </c>
      <c r="M255" t="s">
        <v>613</v>
      </c>
      <c r="N255" t="s">
        <v>618</v>
      </c>
    </row>
    <row r="256" spans="1:15" x14ac:dyDescent="0.25">
      <c r="A256" t="s">
        <v>1418</v>
      </c>
      <c r="B256" t="s">
        <v>1419</v>
      </c>
      <c r="C256" t="s">
        <v>1418</v>
      </c>
      <c r="D256" t="s">
        <v>16</v>
      </c>
      <c r="F256" s="161" t="s">
        <v>3394</v>
      </c>
      <c r="G256" t="s">
        <v>1368</v>
      </c>
      <c r="H256" s="1" t="s">
        <v>3393</v>
      </c>
      <c r="I256" t="s">
        <v>1420</v>
      </c>
      <c r="K256" t="s">
        <v>1421</v>
      </c>
      <c r="L256" t="s">
        <v>612</v>
      </c>
      <c r="M256" t="s">
        <v>613</v>
      </c>
      <c r="N256" t="s">
        <v>655</v>
      </c>
    </row>
    <row r="257" spans="1:15" x14ac:dyDescent="0.25">
      <c r="A257" t="s">
        <v>1426</v>
      </c>
      <c r="B257" t="s">
        <v>1427</v>
      </c>
      <c r="C257" t="s">
        <v>1426</v>
      </c>
      <c r="D257" t="s">
        <v>16</v>
      </c>
      <c r="F257" s="161" t="s">
        <v>3394</v>
      </c>
      <c r="G257" t="s">
        <v>700</v>
      </c>
      <c r="H257" s="1" t="s">
        <v>3393</v>
      </c>
      <c r="I257" t="s">
        <v>1428</v>
      </c>
      <c r="L257" t="s">
        <v>612</v>
      </c>
      <c r="M257" t="s">
        <v>613</v>
      </c>
      <c r="N257" t="s">
        <v>618</v>
      </c>
    </row>
    <row r="258" spans="1:15" x14ac:dyDescent="0.25">
      <c r="A258" t="s">
        <v>1439</v>
      </c>
      <c r="B258" t="s">
        <v>1440</v>
      </c>
      <c r="C258" t="s">
        <v>1439</v>
      </c>
      <c r="D258" t="s">
        <v>16</v>
      </c>
      <c r="F258" s="161" t="s">
        <v>3394</v>
      </c>
      <c r="G258" t="s">
        <v>640</v>
      </c>
      <c r="H258" s="1" t="s">
        <v>3393</v>
      </c>
      <c r="I258" t="s">
        <v>1441</v>
      </c>
      <c r="K258" t="s">
        <v>1442</v>
      </c>
      <c r="L258" t="s">
        <v>612</v>
      </c>
      <c r="M258" t="s">
        <v>613</v>
      </c>
      <c r="N258" t="s">
        <v>618</v>
      </c>
    </row>
    <row r="259" spans="1:15" x14ac:dyDescent="0.25">
      <c r="A259" t="s">
        <v>1443</v>
      </c>
      <c r="B259" t="s">
        <v>1444</v>
      </c>
      <c r="C259" t="s">
        <v>1443</v>
      </c>
      <c r="D259" t="s">
        <v>16</v>
      </c>
      <c r="F259" s="161" t="s">
        <v>3394</v>
      </c>
      <c r="G259" t="s">
        <v>1033</v>
      </c>
      <c r="H259" s="1" t="s">
        <v>3393</v>
      </c>
      <c r="I259" t="s">
        <v>1327</v>
      </c>
      <c r="L259" t="s">
        <v>612</v>
      </c>
      <c r="M259" t="s">
        <v>613</v>
      </c>
      <c r="N259" t="s">
        <v>655</v>
      </c>
    </row>
    <row r="260" spans="1:15" x14ac:dyDescent="0.25">
      <c r="A260" t="s">
        <v>1445</v>
      </c>
      <c r="B260" t="s">
        <v>1446</v>
      </c>
      <c r="C260" t="s">
        <v>1445</v>
      </c>
      <c r="D260" t="s">
        <v>16</v>
      </c>
      <c r="F260" s="161" t="s">
        <v>3394</v>
      </c>
      <c r="G260" t="s">
        <v>700</v>
      </c>
      <c r="H260" s="1" t="s">
        <v>3393</v>
      </c>
      <c r="I260" t="s">
        <v>1447</v>
      </c>
      <c r="L260" t="s">
        <v>612</v>
      </c>
      <c r="M260" t="s">
        <v>613</v>
      </c>
      <c r="N260" t="s">
        <v>618</v>
      </c>
    </row>
    <row r="261" spans="1:15" x14ac:dyDescent="0.25">
      <c r="A261" t="s">
        <v>1448</v>
      </c>
      <c r="B261" t="s">
        <v>1449</v>
      </c>
      <c r="C261" t="s">
        <v>1448</v>
      </c>
      <c r="D261" t="s">
        <v>16</v>
      </c>
      <c r="F261" s="161" t="s">
        <v>3394</v>
      </c>
      <c r="G261" t="s">
        <v>744</v>
      </c>
      <c r="H261" s="1" t="s">
        <v>3393</v>
      </c>
      <c r="I261" t="s">
        <v>1450</v>
      </c>
      <c r="K261" t="s">
        <v>1451</v>
      </c>
      <c r="L261" t="s">
        <v>612</v>
      </c>
      <c r="M261" t="s">
        <v>613</v>
      </c>
      <c r="N261" t="s">
        <v>618</v>
      </c>
    </row>
    <row r="262" spans="1:15" x14ac:dyDescent="0.25">
      <c r="A262" t="s">
        <v>1456</v>
      </c>
      <c r="B262" t="s">
        <v>1457</v>
      </c>
      <c r="C262" t="s">
        <v>1456</v>
      </c>
      <c r="D262" t="s">
        <v>16</v>
      </c>
      <c r="F262" s="161" t="s">
        <v>3394</v>
      </c>
      <c r="G262" t="s">
        <v>744</v>
      </c>
      <c r="H262" s="1" t="s">
        <v>3393</v>
      </c>
      <c r="I262" t="s">
        <v>745</v>
      </c>
      <c r="K262" t="s">
        <v>1458</v>
      </c>
      <c r="L262" t="s">
        <v>612</v>
      </c>
      <c r="M262" t="s">
        <v>613</v>
      </c>
      <c r="N262" t="s">
        <v>618</v>
      </c>
    </row>
    <row r="263" spans="1:15" x14ac:dyDescent="0.25">
      <c r="A263" t="s">
        <v>1459</v>
      </c>
      <c r="B263" t="s">
        <v>1460</v>
      </c>
      <c r="C263" t="s">
        <v>1459</v>
      </c>
      <c r="D263" t="s">
        <v>16</v>
      </c>
      <c r="F263" s="161" t="s">
        <v>3394</v>
      </c>
      <c r="G263" t="s">
        <v>700</v>
      </c>
      <c r="H263" s="1" t="s">
        <v>3393</v>
      </c>
      <c r="I263" t="s">
        <v>1461</v>
      </c>
      <c r="L263" t="s">
        <v>612</v>
      </c>
      <c r="M263" t="s">
        <v>613</v>
      </c>
      <c r="N263" t="s">
        <v>618</v>
      </c>
    </row>
    <row r="264" spans="1:15" x14ac:dyDescent="0.25">
      <c r="A264" t="s">
        <v>1462</v>
      </c>
      <c r="B264" t="s">
        <v>1463</v>
      </c>
      <c r="C264" t="s">
        <v>1462</v>
      </c>
      <c r="D264" t="s">
        <v>16</v>
      </c>
      <c r="F264" s="161" t="s">
        <v>3394</v>
      </c>
      <c r="H264" s="1" t="s">
        <v>3393</v>
      </c>
      <c r="K264" t="s">
        <v>1464</v>
      </c>
      <c r="L264" t="s">
        <v>612</v>
      </c>
      <c r="M264" t="s">
        <v>613</v>
      </c>
      <c r="N264" t="s">
        <v>655</v>
      </c>
    </row>
    <row r="265" spans="1:15" x14ac:dyDescent="0.25">
      <c r="A265" t="s">
        <v>1469</v>
      </c>
      <c r="B265" t="s">
        <v>1470</v>
      </c>
      <c r="C265" t="s">
        <v>1469</v>
      </c>
      <c r="D265" t="s">
        <v>16</v>
      </c>
      <c r="F265" s="161" t="s">
        <v>3394</v>
      </c>
      <c r="G265" t="s">
        <v>67</v>
      </c>
      <c r="H265" s="1" t="s">
        <v>3393</v>
      </c>
      <c r="I265" t="s">
        <v>1471</v>
      </c>
      <c r="K265" t="s">
        <v>1472</v>
      </c>
      <c r="L265" t="s">
        <v>612</v>
      </c>
      <c r="M265" t="s">
        <v>613</v>
      </c>
      <c r="N265" t="s">
        <v>655</v>
      </c>
    </row>
    <row r="266" spans="1:15" x14ac:dyDescent="0.25">
      <c r="A266" t="s">
        <v>1473</v>
      </c>
      <c r="B266" t="s">
        <v>1474</v>
      </c>
      <c r="C266" t="s">
        <v>1473</v>
      </c>
      <c r="D266" t="s">
        <v>16</v>
      </c>
      <c r="F266" s="161" t="s">
        <v>3394</v>
      </c>
      <c r="G266" t="s">
        <v>744</v>
      </c>
      <c r="H266" s="1" t="s">
        <v>3393</v>
      </c>
      <c r="I266" t="s">
        <v>1038</v>
      </c>
      <c r="L266" t="s">
        <v>612</v>
      </c>
      <c r="M266" t="s">
        <v>613</v>
      </c>
      <c r="N266" t="s">
        <v>618</v>
      </c>
    </row>
    <row r="267" spans="1:15" x14ac:dyDescent="0.25">
      <c r="A267" t="s">
        <v>162</v>
      </c>
      <c r="B267" t="s">
        <v>1480</v>
      </c>
      <c r="C267" t="s">
        <v>162</v>
      </c>
      <c r="D267" t="s">
        <v>16</v>
      </c>
      <c r="E267" t="s">
        <v>15</v>
      </c>
      <c r="F267" s="161" t="s">
        <v>3394</v>
      </c>
      <c r="G267" t="s">
        <v>716</v>
      </c>
      <c r="H267" s="1" t="s">
        <v>3393</v>
      </c>
      <c r="I267" t="s">
        <v>713</v>
      </c>
      <c r="L267" t="s">
        <v>612</v>
      </c>
      <c r="M267" t="s">
        <v>613</v>
      </c>
      <c r="N267" t="s">
        <v>655</v>
      </c>
      <c r="O267" s="155">
        <v>45538</v>
      </c>
    </row>
    <row r="268" spans="1:15" x14ac:dyDescent="0.25">
      <c r="A268" t="s">
        <v>1481</v>
      </c>
      <c r="B268" t="s">
        <v>1482</v>
      </c>
      <c r="C268" t="s">
        <v>1481</v>
      </c>
      <c r="D268" t="s">
        <v>16</v>
      </c>
      <c r="F268" s="161" t="s">
        <v>3394</v>
      </c>
      <c r="G268" t="s">
        <v>621</v>
      </c>
      <c r="H268" s="1" t="s">
        <v>3393</v>
      </c>
      <c r="I268" t="s">
        <v>1483</v>
      </c>
      <c r="K268" t="s">
        <v>1484</v>
      </c>
      <c r="L268" t="s">
        <v>612</v>
      </c>
      <c r="M268" t="s">
        <v>613</v>
      </c>
      <c r="N268" t="s">
        <v>618</v>
      </c>
    </row>
    <row r="269" spans="1:15" x14ac:dyDescent="0.25">
      <c r="A269" t="s">
        <v>1485</v>
      </c>
      <c r="B269" t="s">
        <v>1486</v>
      </c>
      <c r="C269" t="s">
        <v>1485</v>
      </c>
      <c r="D269" t="s">
        <v>16</v>
      </c>
      <c r="F269" s="161" t="s">
        <v>3394</v>
      </c>
      <c r="G269" t="s">
        <v>814</v>
      </c>
      <c r="H269" s="1" t="s">
        <v>3393</v>
      </c>
      <c r="I269" t="s">
        <v>769</v>
      </c>
      <c r="L269" t="s">
        <v>612</v>
      </c>
      <c r="M269" t="s">
        <v>613</v>
      </c>
      <c r="N269" t="s">
        <v>618</v>
      </c>
    </row>
    <row r="270" spans="1:15" x14ac:dyDescent="0.25">
      <c r="A270" t="s">
        <v>480</v>
      </c>
      <c r="B270" t="s">
        <v>1487</v>
      </c>
      <c r="C270" t="s">
        <v>480</v>
      </c>
      <c r="D270" t="s">
        <v>16</v>
      </c>
      <c r="E270" t="s">
        <v>15</v>
      </c>
      <c r="F270" s="161" t="s">
        <v>3394</v>
      </c>
      <c r="G270" t="s">
        <v>814</v>
      </c>
      <c r="H270" s="1" t="s">
        <v>587</v>
      </c>
      <c r="I270" t="s">
        <v>1488</v>
      </c>
      <c r="K270" t="s">
        <v>1489</v>
      </c>
      <c r="L270" t="s">
        <v>612</v>
      </c>
      <c r="M270" t="s">
        <v>613</v>
      </c>
      <c r="N270" t="s">
        <v>618</v>
      </c>
      <c r="O270" s="155">
        <v>45151</v>
      </c>
    </row>
    <row r="271" spans="1:15" x14ac:dyDescent="0.25">
      <c r="A271" t="s">
        <v>1490</v>
      </c>
      <c r="B271" t="s">
        <v>1491</v>
      </c>
      <c r="C271" t="s">
        <v>1490</v>
      </c>
      <c r="D271" t="s">
        <v>16</v>
      </c>
      <c r="F271" s="161" t="s">
        <v>3394</v>
      </c>
      <c r="G271" t="s">
        <v>700</v>
      </c>
      <c r="H271" s="1" t="s">
        <v>3393</v>
      </c>
      <c r="I271" t="s">
        <v>1492</v>
      </c>
      <c r="L271" t="s">
        <v>612</v>
      </c>
      <c r="M271" t="s">
        <v>613</v>
      </c>
      <c r="N271" t="s">
        <v>618</v>
      </c>
    </row>
    <row r="272" spans="1:15" x14ac:dyDescent="0.25">
      <c r="A272" t="s">
        <v>1493</v>
      </c>
      <c r="B272" t="s">
        <v>1494</v>
      </c>
      <c r="C272" t="s">
        <v>1493</v>
      </c>
      <c r="D272" t="s">
        <v>16</v>
      </c>
      <c r="F272" s="161" t="s">
        <v>3394</v>
      </c>
      <c r="G272" t="s">
        <v>168</v>
      </c>
      <c r="H272" s="1" t="s">
        <v>3393</v>
      </c>
      <c r="I272" t="s">
        <v>641</v>
      </c>
      <c r="K272" t="s">
        <v>1495</v>
      </c>
      <c r="L272" t="s">
        <v>612</v>
      </c>
      <c r="M272" t="s">
        <v>613</v>
      </c>
      <c r="N272" t="s">
        <v>655</v>
      </c>
    </row>
    <row r="273" spans="1:15" x14ac:dyDescent="0.25">
      <c r="A273" t="s">
        <v>1496</v>
      </c>
      <c r="B273" t="s">
        <v>1497</v>
      </c>
      <c r="C273" t="s">
        <v>1496</v>
      </c>
      <c r="D273" t="s">
        <v>16</v>
      </c>
      <c r="F273" s="161" t="s">
        <v>3394</v>
      </c>
      <c r="G273" t="s">
        <v>700</v>
      </c>
      <c r="H273" s="1" t="s">
        <v>3393</v>
      </c>
      <c r="I273" t="s">
        <v>1498</v>
      </c>
      <c r="L273" t="s">
        <v>612</v>
      </c>
      <c r="M273" t="s">
        <v>613</v>
      </c>
      <c r="N273" t="s">
        <v>618</v>
      </c>
    </row>
    <row r="274" spans="1:15" x14ac:dyDescent="0.25">
      <c r="A274" t="s">
        <v>512</v>
      </c>
      <c r="B274" t="s">
        <v>1499</v>
      </c>
      <c r="C274" t="s">
        <v>512</v>
      </c>
      <c r="D274" t="s">
        <v>16</v>
      </c>
      <c r="E274" t="s">
        <v>15</v>
      </c>
      <c r="F274" s="161" t="s">
        <v>3394</v>
      </c>
      <c r="G274" t="s">
        <v>616</v>
      </c>
      <c r="H274" s="1" t="s">
        <v>593</v>
      </c>
      <c r="I274" t="s">
        <v>1500</v>
      </c>
      <c r="K274" t="s">
        <v>1501</v>
      </c>
      <c r="L274" t="s">
        <v>612</v>
      </c>
      <c r="M274" t="s">
        <v>613</v>
      </c>
      <c r="N274" t="s">
        <v>618</v>
      </c>
      <c r="O274" s="155">
        <v>45151</v>
      </c>
    </row>
    <row r="275" spans="1:15" x14ac:dyDescent="0.25">
      <c r="A275" t="s">
        <v>1502</v>
      </c>
      <c r="B275" t="s">
        <v>1503</v>
      </c>
      <c r="C275" t="s">
        <v>1502</v>
      </c>
      <c r="D275" t="s">
        <v>16</v>
      </c>
      <c r="F275" s="161" t="s">
        <v>3394</v>
      </c>
      <c r="H275" s="1" t="s">
        <v>3393</v>
      </c>
      <c r="K275" t="s">
        <v>1504</v>
      </c>
      <c r="L275" t="s">
        <v>612</v>
      </c>
      <c r="M275" t="s">
        <v>613</v>
      </c>
      <c r="N275" t="s">
        <v>655</v>
      </c>
    </row>
    <row r="276" spans="1:15" x14ac:dyDescent="0.25">
      <c r="A276" t="s">
        <v>1505</v>
      </c>
      <c r="B276" t="s">
        <v>1506</v>
      </c>
      <c r="C276" t="s">
        <v>1505</v>
      </c>
      <c r="D276" t="s">
        <v>16</v>
      </c>
      <c r="F276" s="161" t="s">
        <v>3394</v>
      </c>
      <c r="G276" t="s">
        <v>1346</v>
      </c>
      <c r="H276" s="1" t="s">
        <v>3393</v>
      </c>
      <c r="I276" t="s">
        <v>1214</v>
      </c>
      <c r="L276" t="s">
        <v>612</v>
      </c>
      <c r="M276" t="s">
        <v>613</v>
      </c>
      <c r="N276" t="s">
        <v>618</v>
      </c>
    </row>
    <row r="277" spans="1:15" x14ac:dyDescent="0.25">
      <c r="A277" t="s">
        <v>1509</v>
      </c>
      <c r="B277" t="s">
        <v>1510</v>
      </c>
      <c r="C277" t="s">
        <v>1509</v>
      </c>
      <c r="D277" t="s">
        <v>16</v>
      </c>
      <c r="F277" s="161" t="s">
        <v>3394</v>
      </c>
      <c r="H277" s="1" t="s">
        <v>3393</v>
      </c>
      <c r="K277" t="s">
        <v>1511</v>
      </c>
      <c r="L277" t="s">
        <v>612</v>
      </c>
      <c r="M277" t="s">
        <v>613</v>
      </c>
      <c r="N277" t="s">
        <v>618</v>
      </c>
    </row>
    <row r="278" spans="1:15" x14ac:dyDescent="0.25">
      <c r="A278" t="s">
        <v>206</v>
      </c>
      <c r="B278" t="s">
        <v>1512</v>
      </c>
      <c r="C278" t="s">
        <v>206</v>
      </c>
      <c r="D278" t="s">
        <v>16</v>
      </c>
      <c r="E278" t="s">
        <v>15</v>
      </c>
      <c r="F278" s="161" t="s">
        <v>3394</v>
      </c>
      <c r="G278" t="s">
        <v>1513</v>
      </c>
      <c r="H278" s="1" t="s">
        <v>3393</v>
      </c>
      <c r="I278" t="s">
        <v>1514</v>
      </c>
      <c r="K278" t="s">
        <v>1515</v>
      </c>
      <c r="L278" t="s">
        <v>612</v>
      </c>
      <c r="M278" t="s">
        <v>613</v>
      </c>
      <c r="N278" t="s">
        <v>655</v>
      </c>
      <c r="O278" s="155">
        <v>45131</v>
      </c>
    </row>
    <row r="279" spans="1:15" x14ac:dyDescent="0.25">
      <c r="A279" t="s">
        <v>1518</v>
      </c>
      <c r="B279" t="s">
        <v>1519</v>
      </c>
      <c r="C279" t="s">
        <v>1518</v>
      </c>
      <c r="D279" t="s">
        <v>16</v>
      </c>
      <c r="F279" s="161" t="s">
        <v>3394</v>
      </c>
      <c r="G279" t="s">
        <v>168</v>
      </c>
      <c r="H279" s="1" t="s">
        <v>3393</v>
      </c>
      <c r="I279" t="s">
        <v>1520</v>
      </c>
      <c r="K279" t="s">
        <v>1521</v>
      </c>
      <c r="L279" t="s">
        <v>612</v>
      </c>
      <c r="M279" t="s">
        <v>613</v>
      </c>
      <c r="N279" t="s">
        <v>655</v>
      </c>
    </row>
    <row r="280" spans="1:15" x14ac:dyDescent="0.25">
      <c r="A280" t="s">
        <v>1522</v>
      </c>
      <c r="B280" t="s">
        <v>1523</v>
      </c>
      <c r="C280" t="s">
        <v>1522</v>
      </c>
      <c r="D280" t="s">
        <v>16</v>
      </c>
      <c r="F280" s="161" t="s">
        <v>3394</v>
      </c>
      <c r="G280" t="s">
        <v>716</v>
      </c>
      <c r="H280" s="1" t="s">
        <v>3393</v>
      </c>
      <c r="I280" t="s">
        <v>1524</v>
      </c>
      <c r="K280" t="s">
        <v>1525</v>
      </c>
      <c r="L280" t="s">
        <v>612</v>
      </c>
      <c r="M280" t="s">
        <v>613</v>
      </c>
      <c r="N280" t="s">
        <v>655</v>
      </c>
    </row>
    <row r="281" spans="1:15" x14ac:dyDescent="0.25">
      <c r="A281" t="s">
        <v>509</v>
      </c>
      <c r="B281" t="s">
        <v>1526</v>
      </c>
      <c r="C281" t="s">
        <v>509</v>
      </c>
      <c r="D281" t="s">
        <v>16</v>
      </c>
      <c r="E281" t="s">
        <v>15</v>
      </c>
      <c r="F281" s="161" t="s">
        <v>3394</v>
      </c>
      <c r="G281" t="s">
        <v>752</v>
      </c>
      <c r="H281" s="1" t="s">
        <v>596</v>
      </c>
      <c r="I281" t="s">
        <v>1217</v>
      </c>
      <c r="K281" t="s">
        <v>1527</v>
      </c>
      <c r="L281" t="s">
        <v>612</v>
      </c>
      <c r="M281" t="s">
        <v>613</v>
      </c>
      <c r="N281" t="s">
        <v>618</v>
      </c>
      <c r="O281" s="155">
        <v>46128</v>
      </c>
    </row>
    <row r="282" spans="1:15" x14ac:dyDescent="0.25">
      <c r="A282" t="s">
        <v>1528</v>
      </c>
      <c r="B282" t="s">
        <v>1529</v>
      </c>
      <c r="C282" t="s">
        <v>1528</v>
      </c>
      <c r="D282" t="s">
        <v>16</v>
      </c>
      <c r="F282" s="161" t="s">
        <v>3394</v>
      </c>
      <c r="G282" t="s">
        <v>749</v>
      </c>
      <c r="H282" s="1" t="s">
        <v>3393</v>
      </c>
      <c r="I282" t="s">
        <v>679</v>
      </c>
      <c r="K282" t="s">
        <v>1530</v>
      </c>
      <c r="L282" t="s">
        <v>612</v>
      </c>
      <c r="M282" t="s">
        <v>613</v>
      </c>
      <c r="N282" t="s">
        <v>618</v>
      </c>
    </row>
    <row r="283" spans="1:15" x14ac:dyDescent="0.25">
      <c r="A283" t="s">
        <v>345</v>
      </c>
      <c r="B283" t="s">
        <v>1536</v>
      </c>
      <c r="C283" t="s">
        <v>345</v>
      </c>
      <c r="D283" t="s">
        <v>16</v>
      </c>
      <c r="E283" t="s">
        <v>15</v>
      </c>
      <c r="F283" s="161" t="s">
        <v>3394</v>
      </c>
      <c r="G283" t="s">
        <v>768</v>
      </c>
      <c r="H283" s="1" t="s">
        <v>3393</v>
      </c>
      <c r="I283" t="s">
        <v>769</v>
      </c>
      <c r="L283" t="s">
        <v>612</v>
      </c>
      <c r="M283" t="s">
        <v>613</v>
      </c>
      <c r="N283" t="s">
        <v>655</v>
      </c>
      <c r="O283" s="155">
        <v>45112</v>
      </c>
    </row>
    <row r="284" spans="1:15" x14ac:dyDescent="0.25">
      <c r="A284" t="s">
        <v>1537</v>
      </c>
      <c r="B284" t="s">
        <v>1538</v>
      </c>
      <c r="C284" t="s">
        <v>1537</v>
      </c>
      <c r="D284" t="s">
        <v>16</v>
      </c>
      <c r="F284" s="161" t="s">
        <v>3394</v>
      </c>
      <c r="G284" t="s">
        <v>1190</v>
      </c>
      <c r="H284" s="1" t="s">
        <v>3393</v>
      </c>
      <c r="I284" t="s">
        <v>1483</v>
      </c>
      <c r="K284" t="s">
        <v>1539</v>
      </c>
      <c r="L284" t="s">
        <v>612</v>
      </c>
      <c r="M284" t="s">
        <v>613</v>
      </c>
      <c r="N284" t="s">
        <v>618</v>
      </c>
    </row>
    <row r="285" spans="1:15" x14ac:dyDescent="0.25">
      <c r="A285" t="s">
        <v>290</v>
      </c>
      <c r="B285" t="s">
        <v>1552</v>
      </c>
      <c r="C285" t="s">
        <v>290</v>
      </c>
      <c r="D285" t="s">
        <v>16</v>
      </c>
      <c r="E285" t="s">
        <v>15</v>
      </c>
      <c r="F285" s="161" t="s">
        <v>3394</v>
      </c>
      <c r="G285" t="s">
        <v>768</v>
      </c>
      <c r="H285" s="1" t="s">
        <v>3393</v>
      </c>
      <c r="I285" t="s">
        <v>769</v>
      </c>
      <c r="K285" t="s">
        <v>1553</v>
      </c>
      <c r="L285" t="s">
        <v>612</v>
      </c>
      <c r="M285" t="s">
        <v>613</v>
      </c>
      <c r="N285" t="s">
        <v>655</v>
      </c>
      <c r="O285" s="155">
        <v>45838</v>
      </c>
    </row>
    <row r="286" spans="1:15" x14ac:dyDescent="0.25">
      <c r="A286" t="s">
        <v>577</v>
      </c>
      <c r="B286" t="s">
        <v>1554</v>
      </c>
      <c r="C286" t="s">
        <v>577</v>
      </c>
      <c r="D286" t="s">
        <v>16</v>
      </c>
      <c r="E286" t="s">
        <v>15</v>
      </c>
      <c r="F286" s="161" t="s">
        <v>3394</v>
      </c>
      <c r="G286" t="s">
        <v>1235</v>
      </c>
      <c r="H286" s="1" t="s">
        <v>111</v>
      </c>
      <c r="I286" t="s">
        <v>877</v>
      </c>
      <c r="L286" t="s">
        <v>612</v>
      </c>
      <c r="M286" t="s">
        <v>613</v>
      </c>
      <c r="N286" t="s">
        <v>618</v>
      </c>
      <c r="O286" s="155">
        <v>45530</v>
      </c>
    </row>
    <row r="287" spans="1:15" x14ac:dyDescent="0.25">
      <c r="A287" t="s">
        <v>462</v>
      </c>
      <c r="B287" t="s">
        <v>1555</v>
      </c>
      <c r="C287" t="s">
        <v>462</v>
      </c>
      <c r="D287" t="s">
        <v>16</v>
      </c>
      <c r="E287" t="s">
        <v>15</v>
      </c>
      <c r="F287" s="161" t="s">
        <v>3394</v>
      </c>
      <c r="G287" t="s">
        <v>749</v>
      </c>
      <c r="H287" s="1" t="s">
        <v>594</v>
      </c>
      <c r="I287" t="s">
        <v>1556</v>
      </c>
      <c r="K287" t="s">
        <v>1557</v>
      </c>
      <c r="L287" t="s">
        <v>612</v>
      </c>
      <c r="M287" t="s">
        <v>613</v>
      </c>
      <c r="N287" t="s">
        <v>618</v>
      </c>
      <c r="O287" s="155">
        <v>45151</v>
      </c>
    </row>
    <row r="288" spans="1:15" x14ac:dyDescent="0.25">
      <c r="A288" t="s">
        <v>1561</v>
      </c>
      <c r="B288" t="s">
        <v>1562</v>
      </c>
      <c r="C288" t="s">
        <v>1561</v>
      </c>
      <c r="D288" t="s">
        <v>16</v>
      </c>
      <c r="F288" s="161" t="s">
        <v>3394</v>
      </c>
      <c r="G288" t="s">
        <v>1190</v>
      </c>
      <c r="H288" s="1" t="s">
        <v>3393</v>
      </c>
      <c r="I288" t="s">
        <v>1563</v>
      </c>
      <c r="K288" t="s">
        <v>1564</v>
      </c>
      <c r="L288" t="s">
        <v>612</v>
      </c>
      <c r="M288" t="s">
        <v>613</v>
      </c>
      <c r="N288" t="s">
        <v>618</v>
      </c>
    </row>
    <row r="289" spans="1:15" x14ac:dyDescent="0.25">
      <c r="A289" t="s">
        <v>442</v>
      </c>
      <c r="B289" t="s">
        <v>1565</v>
      </c>
      <c r="C289" t="s">
        <v>442</v>
      </c>
      <c r="D289" t="s">
        <v>16</v>
      </c>
      <c r="E289" t="s">
        <v>19</v>
      </c>
      <c r="F289" s="161" t="s">
        <v>3394</v>
      </c>
      <c r="G289" t="s">
        <v>749</v>
      </c>
      <c r="H289" s="1" t="s">
        <v>594</v>
      </c>
      <c r="I289" t="s">
        <v>1566</v>
      </c>
      <c r="K289" t="s">
        <v>1567</v>
      </c>
      <c r="L289" t="s">
        <v>612</v>
      </c>
      <c r="M289" t="s">
        <v>613</v>
      </c>
      <c r="N289" t="s">
        <v>618</v>
      </c>
      <c r="O289" s="155">
        <v>45477</v>
      </c>
    </row>
    <row r="290" spans="1:15" x14ac:dyDescent="0.25">
      <c r="A290" t="s">
        <v>289</v>
      </c>
      <c r="B290" t="s">
        <v>1568</v>
      </c>
      <c r="C290" t="s">
        <v>289</v>
      </c>
      <c r="D290" t="s">
        <v>16</v>
      </c>
      <c r="E290" t="s">
        <v>15</v>
      </c>
      <c r="F290" s="161" t="s">
        <v>3394</v>
      </c>
      <c r="G290" t="s">
        <v>768</v>
      </c>
      <c r="H290" s="1" t="s">
        <v>3393</v>
      </c>
      <c r="I290" t="s">
        <v>769</v>
      </c>
      <c r="K290" t="s">
        <v>1569</v>
      </c>
      <c r="L290" t="s">
        <v>612</v>
      </c>
      <c r="M290" t="s">
        <v>613</v>
      </c>
      <c r="N290" t="s">
        <v>655</v>
      </c>
      <c r="O290" s="155">
        <v>44784</v>
      </c>
    </row>
    <row r="291" spans="1:15" x14ac:dyDescent="0.25">
      <c r="A291" t="s">
        <v>444</v>
      </c>
      <c r="B291" t="s">
        <v>1570</v>
      </c>
      <c r="C291" t="s">
        <v>444</v>
      </c>
      <c r="D291" t="s">
        <v>16</v>
      </c>
      <c r="E291" t="s">
        <v>19</v>
      </c>
      <c r="F291" s="161" t="s">
        <v>3394</v>
      </c>
      <c r="G291" t="s">
        <v>752</v>
      </c>
      <c r="H291" s="1" t="s">
        <v>596</v>
      </c>
      <c r="I291" t="s">
        <v>734</v>
      </c>
      <c r="L291" t="s">
        <v>612</v>
      </c>
      <c r="M291" t="s">
        <v>613</v>
      </c>
      <c r="N291" t="s">
        <v>618</v>
      </c>
      <c r="O291" s="155">
        <v>46083</v>
      </c>
    </row>
    <row r="292" spans="1:15" x14ac:dyDescent="0.25">
      <c r="A292" t="s">
        <v>1571</v>
      </c>
      <c r="B292" t="s">
        <v>1572</v>
      </c>
      <c r="C292" t="s">
        <v>1571</v>
      </c>
      <c r="D292" t="s">
        <v>16</v>
      </c>
      <c r="F292" s="161" t="s">
        <v>3394</v>
      </c>
      <c r="G292" t="s">
        <v>700</v>
      </c>
      <c r="H292" s="1" t="s">
        <v>3393</v>
      </c>
      <c r="I292" t="s">
        <v>1573</v>
      </c>
      <c r="K292" t="s">
        <v>1574</v>
      </c>
      <c r="L292" t="s">
        <v>612</v>
      </c>
      <c r="M292" t="s">
        <v>613</v>
      </c>
      <c r="N292" t="s">
        <v>618</v>
      </c>
    </row>
    <row r="293" spans="1:15" x14ac:dyDescent="0.25">
      <c r="A293" t="s">
        <v>504</v>
      </c>
      <c r="B293" t="s">
        <v>1575</v>
      </c>
      <c r="C293" t="s">
        <v>504</v>
      </c>
      <c r="D293" t="s">
        <v>16</v>
      </c>
      <c r="E293" t="s">
        <v>15</v>
      </c>
      <c r="F293" s="161" t="s">
        <v>3394</v>
      </c>
      <c r="G293" t="s">
        <v>925</v>
      </c>
      <c r="H293" s="1" t="s">
        <v>593</v>
      </c>
      <c r="I293" t="s">
        <v>1576</v>
      </c>
      <c r="K293" t="s">
        <v>1577</v>
      </c>
      <c r="L293" t="s">
        <v>612</v>
      </c>
      <c r="M293" t="s">
        <v>613</v>
      </c>
      <c r="N293" t="s">
        <v>618</v>
      </c>
      <c r="O293" s="155">
        <v>45151</v>
      </c>
    </row>
    <row r="294" spans="1:15" x14ac:dyDescent="0.25">
      <c r="A294" t="s">
        <v>155</v>
      </c>
      <c r="B294" t="s">
        <v>1584</v>
      </c>
      <c r="C294" t="s">
        <v>155</v>
      </c>
      <c r="D294" t="s">
        <v>16</v>
      </c>
      <c r="E294" t="s">
        <v>15</v>
      </c>
      <c r="F294" s="161" t="s">
        <v>3394</v>
      </c>
      <c r="G294" t="s">
        <v>168</v>
      </c>
      <c r="H294" s="1" t="s">
        <v>3393</v>
      </c>
      <c r="I294" t="s">
        <v>1585</v>
      </c>
      <c r="K294" t="s">
        <v>1586</v>
      </c>
      <c r="L294" t="s">
        <v>612</v>
      </c>
      <c r="M294" t="s">
        <v>613</v>
      </c>
      <c r="N294" t="s">
        <v>655</v>
      </c>
      <c r="O294" s="155">
        <v>44784</v>
      </c>
    </row>
    <row r="295" spans="1:15" x14ac:dyDescent="0.25">
      <c r="A295" t="s">
        <v>1587</v>
      </c>
      <c r="B295" t="s">
        <v>1588</v>
      </c>
      <c r="C295" t="s">
        <v>1587</v>
      </c>
      <c r="D295" t="s">
        <v>16</v>
      </c>
      <c r="F295" s="161" t="s">
        <v>3394</v>
      </c>
      <c r="G295" t="s">
        <v>749</v>
      </c>
      <c r="H295" s="1" t="s">
        <v>3393</v>
      </c>
      <c r="I295" t="s">
        <v>1589</v>
      </c>
      <c r="L295" t="s">
        <v>612</v>
      </c>
      <c r="M295" t="s">
        <v>613</v>
      </c>
      <c r="N295" t="s">
        <v>618</v>
      </c>
    </row>
    <row r="296" spans="1:15" x14ac:dyDescent="0.25">
      <c r="A296" t="s">
        <v>1590</v>
      </c>
      <c r="B296" t="s">
        <v>1591</v>
      </c>
      <c r="C296" t="s">
        <v>1590</v>
      </c>
      <c r="D296" t="s">
        <v>16</v>
      </c>
      <c r="F296" s="161" t="s">
        <v>3394</v>
      </c>
      <c r="G296" t="s">
        <v>700</v>
      </c>
      <c r="H296" s="1" t="s">
        <v>3393</v>
      </c>
      <c r="I296" t="s">
        <v>1592</v>
      </c>
      <c r="K296" t="s">
        <v>1593</v>
      </c>
      <c r="L296" t="s">
        <v>612</v>
      </c>
      <c r="M296" t="s">
        <v>613</v>
      </c>
      <c r="N296" t="s">
        <v>618</v>
      </c>
    </row>
    <row r="297" spans="1:15" x14ac:dyDescent="0.25">
      <c r="A297" t="s">
        <v>1594</v>
      </c>
      <c r="B297" t="s">
        <v>1595</v>
      </c>
      <c r="C297" t="s">
        <v>1594</v>
      </c>
      <c r="D297" t="s">
        <v>16</v>
      </c>
      <c r="F297" s="161" t="s">
        <v>3394</v>
      </c>
      <c r="G297" t="s">
        <v>768</v>
      </c>
      <c r="H297" s="1" t="s">
        <v>3393</v>
      </c>
      <c r="I297" t="s">
        <v>769</v>
      </c>
      <c r="K297" t="s">
        <v>1596</v>
      </c>
      <c r="L297" t="s">
        <v>612</v>
      </c>
      <c r="M297" t="s">
        <v>613</v>
      </c>
      <c r="N297" t="s">
        <v>655</v>
      </c>
    </row>
    <row r="298" spans="1:15" x14ac:dyDescent="0.25">
      <c r="A298" t="s">
        <v>1597</v>
      </c>
      <c r="B298" t="s">
        <v>1598</v>
      </c>
      <c r="C298" t="s">
        <v>1597</v>
      </c>
      <c r="D298" t="s">
        <v>16</v>
      </c>
      <c r="F298" s="161" t="s">
        <v>3394</v>
      </c>
      <c r="G298" t="s">
        <v>102</v>
      </c>
      <c r="H298" s="1" t="s">
        <v>3393</v>
      </c>
      <c r="I298" t="s">
        <v>1599</v>
      </c>
      <c r="K298" t="s">
        <v>1600</v>
      </c>
      <c r="L298" t="s">
        <v>612</v>
      </c>
      <c r="M298" t="s">
        <v>613</v>
      </c>
      <c r="N298" t="s">
        <v>655</v>
      </c>
    </row>
    <row r="299" spans="1:15" x14ac:dyDescent="0.25">
      <c r="A299" t="s">
        <v>1601</v>
      </c>
      <c r="B299" t="s">
        <v>1602</v>
      </c>
      <c r="C299" t="s">
        <v>1601</v>
      </c>
      <c r="D299" t="s">
        <v>16</v>
      </c>
      <c r="F299" s="161" t="s">
        <v>3394</v>
      </c>
      <c r="G299" t="s">
        <v>1603</v>
      </c>
      <c r="H299" s="1" t="s">
        <v>3393</v>
      </c>
      <c r="I299" t="s">
        <v>1604</v>
      </c>
      <c r="K299" t="s">
        <v>1605</v>
      </c>
      <c r="L299" t="s">
        <v>612</v>
      </c>
      <c r="M299" t="s">
        <v>613</v>
      </c>
      <c r="N299" t="s">
        <v>618</v>
      </c>
    </row>
    <row r="300" spans="1:15" x14ac:dyDescent="0.25">
      <c r="A300" t="s">
        <v>383</v>
      </c>
      <c r="B300" t="s">
        <v>1606</v>
      </c>
      <c r="C300" t="s">
        <v>383</v>
      </c>
      <c r="D300" t="s">
        <v>16</v>
      </c>
      <c r="E300" t="s">
        <v>15</v>
      </c>
      <c r="F300" s="161" t="s">
        <v>3394</v>
      </c>
      <c r="G300" t="s">
        <v>744</v>
      </c>
      <c r="H300" s="1" t="s">
        <v>590</v>
      </c>
      <c r="I300" t="s">
        <v>728</v>
      </c>
      <c r="L300" t="s">
        <v>612</v>
      </c>
      <c r="M300" t="s">
        <v>613</v>
      </c>
      <c r="N300" t="s">
        <v>618</v>
      </c>
      <c r="O300" s="155">
        <v>46153</v>
      </c>
    </row>
    <row r="301" spans="1:15" x14ac:dyDescent="0.25">
      <c r="A301" t="s">
        <v>1607</v>
      </c>
      <c r="B301" t="s">
        <v>1608</v>
      </c>
      <c r="C301" t="s">
        <v>1607</v>
      </c>
      <c r="D301" t="s">
        <v>16</v>
      </c>
      <c r="F301" s="161" t="s">
        <v>3394</v>
      </c>
      <c r="G301" t="s">
        <v>768</v>
      </c>
      <c r="H301" s="1" t="s">
        <v>3393</v>
      </c>
      <c r="I301" t="s">
        <v>769</v>
      </c>
      <c r="K301" t="s">
        <v>1609</v>
      </c>
      <c r="L301" t="s">
        <v>612</v>
      </c>
      <c r="M301" t="s">
        <v>613</v>
      </c>
      <c r="N301" t="s">
        <v>655</v>
      </c>
    </row>
    <row r="302" spans="1:15" x14ac:dyDescent="0.25">
      <c r="A302" t="s">
        <v>1610</v>
      </c>
      <c r="B302" t="s">
        <v>1611</v>
      </c>
      <c r="C302" t="s">
        <v>1610</v>
      </c>
      <c r="D302" t="s">
        <v>16</v>
      </c>
      <c r="F302" s="161" t="s">
        <v>3394</v>
      </c>
      <c r="G302" t="s">
        <v>749</v>
      </c>
      <c r="H302" s="1" t="s">
        <v>3393</v>
      </c>
      <c r="I302" t="s">
        <v>1612</v>
      </c>
      <c r="K302" t="s">
        <v>1613</v>
      </c>
      <c r="L302" t="s">
        <v>612</v>
      </c>
      <c r="M302" t="s">
        <v>613</v>
      </c>
      <c r="N302" t="s">
        <v>618</v>
      </c>
    </row>
    <row r="303" spans="1:15" x14ac:dyDescent="0.25">
      <c r="A303" t="s">
        <v>496</v>
      </c>
      <c r="B303" t="s">
        <v>1614</v>
      </c>
      <c r="C303" t="s">
        <v>496</v>
      </c>
      <c r="D303" t="s">
        <v>16</v>
      </c>
      <c r="E303" t="s">
        <v>15</v>
      </c>
      <c r="F303" s="161" t="s">
        <v>3394</v>
      </c>
      <c r="G303" t="s">
        <v>700</v>
      </c>
      <c r="H303" s="1" t="s">
        <v>587</v>
      </c>
      <c r="I303" t="s">
        <v>1615</v>
      </c>
      <c r="K303" t="s">
        <v>1616</v>
      </c>
      <c r="L303" t="s">
        <v>612</v>
      </c>
      <c r="M303" t="s">
        <v>613</v>
      </c>
      <c r="N303" t="s">
        <v>618</v>
      </c>
      <c r="O303" s="155">
        <v>45151</v>
      </c>
    </row>
    <row r="304" spans="1:15" x14ac:dyDescent="0.25">
      <c r="A304" t="s">
        <v>60</v>
      </c>
      <c r="B304" t="s">
        <v>1617</v>
      </c>
      <c r="C304" t="s">
        <v>60</v>
      </c>
      <c r="D304" t="s">
        <v>16</v>
      </c>
      <c r="E304" t="s">
        <v>15</v>
      </c>
      <c r="F304" s="161" t="s">
        <v>3394</v>
      </c>
      <c r="G304" t="s">
        <v>840</v>
      </c>
      <c r="H304" s="1" t="s">
        <v>594</v>
      </c>
      <c r="I304" t="s">
        <v>1084</v>
      </c>
      <c r="K304" t="s">
        <v>1618</v>
      </c>
      <c r="L304" t="s">
        <v>612</v>
      </c>
      <c r="M304" t="s">
        <v>613</v>
      </c>
      <c r="N304" t="s">
        <v>618</v>
      </c>
      <c r="O304" s="155">
        <v>42072</v>
      </c>
    </row>
    <row r="305" spans="1:15" x14ac:dyDescent="0.25">
      <c r="A305" t="s">
        <v>198</v>
      </c>
      <c r="B305" t="s">
        <v>1619</v>
      </c>
      <c r="C305" t="s">
        <v>198</v>
      </c>
      <c r="D305" t="s">
        <v>16</v>
      </c>
      <c r="E305" t="s">
        <v>15</v>
      </c>
      <c r="F305" s="161" t="s">
        <v>3394</v>
      </c>
      <c r="G305" t="s">
        <v>1033</v>
      </c>
      <c r="H305" s="1" t="s">
        <v>3393</v>
      </c>
      <c r="I305" t="s">
        <v>1620</v>
      </c>
      <c r="K305" t="s">
        <v>1621</v>
      </c>
      <c r="L305" t="s">
        <v>612</v>
      </c>
      <c r="M305" t="s">
        <v>613</v>
      </c>
      <c r="N305" t="s">
        <v>655</v>
      </c>
      <c r="O305" s="155">
        <v>45231</v>
      </c>
    </row>
    <row r="306" spans="1:15" x14ac:dyDescent="0.25">
      <c r="A306" t="s">
        <v>1622</v>
      </c>
      <c r="B306" t="s">
        <v>1623</v>
      </c>
      <c r="C306" t="s">
        <v>1622</v>
      </c>
      <c r="D306" t="s">
        <v>16</v>
      </c>
      <c r="F306" s="161" t="s">
        <v>3394</v>
      </c>
      <c r="G306" t="s">
        <v>1368</v>
      </c>
      <c r="H306" s="1" t="s">
        <v>3393</v>
      </c>
      <c r="I306" t="s">
        <v>1624</v>
      </c>
      <c r="K306" t="s">
        <v>1625</v>
      </c>
      <c r="L306" t="s">
        <v>612</v>
      </c>
      <c r="M306" t="s">
        <v>613</v>
      </c>
      <c r="N306" t="s">
        <v>655</v>
      </c>
    </row>
    <row r="307" spans="1:15" x14ac:dyDescent="0.25">
      <c r="A307" t="s">
        <v>1626</v>
      </c>
      <c r="B307" t="s">
        <v>1627</v>
      </c>
      <c r="C307" t="s">
        <v>1626</v>
      </c>
      <c r="D307" t="s">
        <v>16</v>
      </c>
      <c r="F307" s="161" t="s">
        <v>3394</v>
      </c>
      <c r="G307" t="s">
        <v>640</v>
      </c>
      <c r="H307" s="1" t="s">
        <v>3393</v>
      </c>
      <c r="I307" t="s">
        <v>1628</v>
      </c>
      <c r="L307" t="s">
        <v>612</v>
      </c>
      <c r="M307" t="s">
        <v>613</v>
      </c>
      <c r="N307" t="s">
        <v>618</v>
      </c>
    </row>
    <row r="308" spans="1:15" x14ac:dyDescent="0.25">
      <c r="A308" t="s">
        <v>218</v>
      </c>
      <c r="B308" t="s">
        <v>1629</v>
      </c>
      <c r="C308" t="s">
        <v>218</v>
      </c>
      <c r="D308" t="s">
        <v>16</v>
      </c>
      <c r="E308" t="s">
        <v>15</v>
      </c>
      <c r="F308" s="161" t="s">
        <v>3394</v>
      </c>
      <c r="G308" t="s">
        <v>768</v>
      </c>
      <c r="H308" s="1" t="s">
        <v>3393</v>
      </c>
      <c r="I308" t="s">
        <v>769</v>
      </c>
      <c r="K308" t="s">
        <v>1630</v>
      </c>
      <c r="L308" t="s">
        <v>612</v>
      </c>
      <c r="M308" t="s">
        <v>613</v>
      </c>
      <c r="N308" t="s">
        <v>655</v>
      </c>
      <c r="O308" s="155">
        <v>44900</v>
      </c>
    </row>
    <row r="309" spans="1:15" x14ac:dyDescent="0.25">
      <c r="A309" t="s">
        <v>563</v>
      </c>
      <c r="B309" t="s">
        <v>1635</v>
      </c>
      <c r="C309" t="s">
        <v>563</v>
      </c>
      <c r="D309" t="s">
        <v>16</v>
      </c>
      <c r="E309" t="s">
        <v>15</v>
      </c>
      <c r="F309" s="161" t="s">
        <v>3394</v>
      </c>
      <c r="G309" t="s">
        <v>640</v>
      </c>
      <c r="H309" s="1" t="s">
        <v>595</v>
      </c>
      <c r="I309" t="s">
        <v>1636</v>
      </c>
      <c r="L309" t="s">
        <v>612</v>
      </c>
      <c r="M309" t="s">
        <v>613</v>
      </c>
      <c r="N309" t="s">
        <v>618</v>
      </c>
      <c r="O309" s="155">
        <v>45708</v>
      </c>
    </row>
    <row r="310" spans="1:15" x14ac:dyDescent="0.25">
      <c r="A310" t="s">
        <v>543</v>
      </c>
      <c r="B310" t="s">
        <v>1637</v>
      </c>
      <c r="C310" t="s">
        <v>543</v>
      </c>
      <c r="D310" t="s">
        <v>16</v>
      </c>
      <c r="E310" t="s">
        <v>15</v>
      </c>
      <c r="F310" s="161" t="s">
        <v>3394</v>
      </c>
      <c r="G310" t="s">
        <v>1638</v>
      </c>
      <c r="H310" s="1" t="s">
        <v>3393</v>
      </c>
      <c r="I310" t="s">
        <v>1639</v>
      </c>
      <c r="K310" t="s">
        <v>1640</v>
      </c>
      <c r="L310" t="s">
        <v>612</v>
      </c>
      <c r="M310" t="s">
        <v>613</v>
      </c>
      <c r="N310" t="s">
        <v>618</v>
      </c>
      <c r="O310" s="155">
        <v>45151</v>
      </c>
    </row>
    <row r="311" spans="1:15" x14ac:dyDescent="0.25">
      <c r="A311" t="s">
        <v>1641</v>
      </c>
      <c r="B311" t="s">
        <v>1642</v>
      </c>
      <c r="C311" t="s">
        <v>1641</v>
      </c>
      <c r="D311" t="s">
        <v>16</v>
      </c>
      <c r="F311" s="161" t="s">
        <v>3394</v>
      </c>
      <c r="G311" t="s">
        <v>1643</v>
      </c>
      <c r="H311" s="1" t="s">
        <v>3393</v>
      </c>
      <c r="I311" t="s">
        <v>1644</v>
      </c>
      <c r="K311" t="s">
        <v>1645</v>
      </c>
      <c r="L311" t="s">
        <v>612</v>
      </c>
      <c r="M311" t="s">
        <v>613</v>
      </c>
      <c r="N311" s="154" t="s">
        <v>3390</v>
      </c>
    </row>
    <row r="312" spans="1:15" x14ac:dyDescent="0.25">
      <c r="A312" t="s">
        <v>37</v>
      </c>
      <c r="B312" t="s">
        <v>1646</v>
      </c>
      <c r="C312" t="s">
        <v>37</v>
      </c>
      <c r="D312" t="s">
        <v>16</v>
      </c>
      <c r="E312" t="s">
        <v>15</v>
      </c>
      <c r="F312" s="161" t="s">
        <v>3394</v>
      </c>
      <c r="G312" t="s">
        <v>814</v>
      </c>
      <c r="H312" s="1" t="s">
        <v>594</v>
      </c>
      <c r="I312" t="s">
        <v>1647</v>
      </c>
      <c r="K312" t="s">
        <v>1648</v>
      </c>
      <c r="L312" t="s">
        <v>612</v>
      </c>
      <c r="M312" t="s">
        <v>613</v>
      </c>
      <c r="N312" t="s">
        <v>618</v>
      </c>
      <c r="O312" s="155">
        <v>43263</v>
      </c>
    </row>
    <row r="313" spans="1:15" x14ac:dyDescent="0.25">
      <c r="A313" t="s">
        <v>485</v>
      </c>
      <c r="B313" t="s">
        <v>1649</v>
      </c>
      <c r="C313" t="s">
        <v>485</v>
      </c>
      <c r="D313" t="s">
        <v>16</v>
      </c>
      <c r="E313" t="s">
        <v>15</v>
      </c>
      <c r="F313" s="161" t="s">
        <v>3394</v>
      </c>
      <c r="G313" t="s">
        <v>876</v>
      </c>
      <c r="H313" s="1" t="s">
        <v>590</v>
      </c>
      <c r="I313" t="s">
        <v>1257</v>
      </c>
      <c r="K313" t="s">
        <v>1650</v>
      </c>
      <c r="L313" t="s">
        <v>612</v>
      </c>
      <c r="M313" t="s">
        <v>613</v>
      </c>
      <c r="N313" t="s">
        <v>618</v>
      </c>
      <c r="O313" s="155">
        <v>45700</v>
      </c>
    </row>
    <row r="314" spans="1:15" x14ac:dyDescent="0.25">
      <c r="A314" t="s">
        <v>1651</v>
      </c>
      <c r="B314" t="s">
        <v>1652</v>
      </c>
      <c r="C314" t="s">
        <v>1651</v>
      </c>
      <c r="D314" t="s">
        <v>16</v>
      </c>
      <c r="F314" s="161" t="s">
        <v>3394</v>
      </c>
      <c r="G314" t="s">
        <v>67</v>
      </c>
      <c r="H314" s="1" t="s">
        <v>3393</v>
      </c>
      <c r="I314" t="s">
        <v>1653</v>
      </c>
      <c r="K314" t="s">
        <v>1654</v>
      </c>
      <c r="L314" t="s">
        <v>612</v>
      </c>
      <c r="M314" t="s">
        <v>613</v>
      </c>
      <c r="N314" t="s">
        <v>655</v>
      </c>
    </row>
    <row r="315" spans="1:15" x14ac:dyDescent="0.25">
      <c r="A315" t="s">
        <v>1662</v>
      </c>
      <c r="B315" t="s">
        <v>1663</v>
      </c>
      <c r="C315" t="s">
        <v>1662</v>
      </c>
      <c r="D315" t="s">
        <v>16</v>
      </c>
      <c r="F315" s="161" t="s">
        <v>3394</v>
      </c>
      <c r="G315" t="s">
        <v>744</v>
      </c>
      <c r="H315" s="1" t="s">
        <v>3393</v>
      </c>
      <c r="I315" t="s">
        <v>756</v>
      </c>
      <c r="L315" t="s">
        <v>612</v>
      </c>
      <c r="M315" t="s">
        <v>613</v>
      </c>
      <c r="N315" t="s">
        <v>618</v>
      </c>
    </row>
    <row r="316" spans="1:15" x14ac:dyDescent="0.25">
      <c r="A316" t="s">
        <v>51</v>
      </c>
      <c r="B316" t="s">
        <v>1668</v>
      </c>
      <c r="C316" t="s">
        <v>51</v>
      </c>
      <c r="D316" t="s">
        <v>16</v>
      </c>
      <c r="E316" t="s">
        <v>19</v>
      </c>
      <c r="F316" s="161" t="s">
        <v>3394</v>
      </c>
      <c r="G316" t="s">
        <v>744</v>
      </c>
      <c r="H316" s="1" t="s">
        <v>593</v>
      </c>
      <c r="I316" t="s">
        <v>1669</v>
      </c>
      <c r="K316" t="s">
        <v>1670</v>
      </c>
      <c r="L316" t="s">
        <v>612</v>
      </c>
      <c r="M316" t="s">
        <v>613</v>
      </c>
      <c r="N316" t="s">
        <v>618</v>
      </c>
      <c r="O316" s="155">
        <v>44418</v>
      </c>
    </row>
    <row r="317" spans="1:15" x14ac:dyDescent="0.25">
      <c r="A317" t="s">
        <v>1671</v>
      </c>
      <c r="B317" t="s">
        <v>1672</v>
      </c>
      <c r="C317" t="s">
        <v>1671</v>
      </c>
      <c r="D317" t="s">
        <v>16</v>
      </c>
      <c r="F317" s="161" t="s">
        <v>3394</v>
      </c>
      <c r="G317" t="s">
        <v>67</v>
      </c>
      <c r="H317" s="1" t="s">
        <v>3393</v>
      </c>
      <c r="I317" t="s">
        <v>1123</v>
      </c>
      <c r="K317" t="s">
        <v>1673</v>
      </c>
      <c r="L317" t="s">
        <v>612</v>
      </c>
      <c r="M317" t="s">
        <v>613</v>
      </c>
      <c r="N317" t="s">
        <v>655</v>
      </c>
    </row>
    <row r="318" spans="1:15" x14ac:dyDescent="0.25">
      <c r="A318" t="s">
        <v>516</v>
      </c>
      <c r="B318" t="s">
        <v>1677</v>
      </c>
      <c r="C318" t="s">
        <v>516</v>
      </c>
      <c r="D318" t="s">
        <v>16</v>
      </c>
      <c r="E318" t="s">
        <v>15</v>
      </c>
      <c r="F318" s="161" t="s">
        <v>3394</v>
      </c>
      <c r="G318" t="s">
        <v>621</v>
      </c>
      <c r="H318" s="1" t="s">
        <v>597</v>
      </c>
      <c r="I318" t="s">
        <v>1678</v>
      </c>
      <c r="K318" t="s">
        <v>1679</v>
      </c>
      <c r="L318" t="s">
        <v>612</v>
      </c>
      <c r="M318" t="s">
        <v>613</v>
      </c>
      <c r="N318" t="s">
        <v>618</v>
      </c>
      <c r="O318" s="155">
        <v>45151</v>
      </c>
    </row>
    <row r="319" spans="1:15" x14ac:dyDescent="0.25">
      <c r="A319" t="s">
        <v>1680</v>
      </c>
      <c r="B319" t="s">
        <v>1681</v>
      </c>
      <c r="C319" t="s">
        <v>1680</v>
      </c>
      <c r="D319" t="s">
        <v>16</v>
      </c>
      <c r="F319" s="161" t="s">
        <v>3394</v>
      </c>
      <c r="G319" t="s">
        <v>1235</v>
      </c>
      <c r="H319" s="1" t="s">
        <v>3393</v>
      </c>
      <c r="I319" t="s">
        <v>977</v>
      </c>
      <c r="K319" t="s">
        <v>1682</v>
      </c>
      <c r="L319" t="s">
        <v>612</v>
      </c>
      <c r="M319" t="s">
        <v>613</v>
      </c>
      <c r="N319" t="s">
        <v>618</v>
      </c>
    </row>
    <row r="320" spans="1:15" x14ac:dyDescent="0.25">
      <c r="A320" t="s">
        <v>1683</v>
      </c>
      <c r="B320" t="s">
        <v>1684</v>
      </c>
      <c r="C320" t="s">
        <v>1683</v>
      </c>
      <c r="D320" t="s">
        <v>16</v>
      </c>
      <c r="F320" s="161" t="s">
        <v>3394</v>
      </c>
      <c r="H320" s="1" t="s">
        <v>3393</v>
      </c>
      <c r="K320" t="s">
        <v>1685</v>
      </c>
      <c r="L320" t="s">
        <v>612</v>
      </c>
      <c r="M320" t="s">
        <v>613</v>
      </c>
      <c r="N320" t="s">
        <v>618</v>
      </c>
    </row>
    <row r="321" spans="1:15" x14ac:dyDescent="0.25">
      <c r="A321" t="s">
        <v>438</v>
      </c>
      <c r="B321" t="s">
        <v>1690</v>
      </c>
      <c r="C321" t="s">
        <v>438</v>
      </c>
      <c r="D321" t="s">
        <v>16</v>
      </c>
      <c r="E321" t="s">
        <v>19</v>
      </c>
      <c r="F321" s="161" t="s">
        <v>3394</v>
      </c>
      <c r="G321" t="s">
        <v>744</v>
      </c>
      <c r="H321" s="1" t="s">
        <v>590</v>
      </c>
      <c r="I321" t="s">
        <v>1691</v>
      </c>
      <c r="K321" t="s">
        <v>1692</v>
      </c>
      <c r="L321" t="s">
        <v>612</v>
      </c>
      <c r="M321" t="s">
        <v>613</v>
      </c>
      <c r="N321" t="s">
        <v>618</v>
      </c>
      <c r="O321" s="155">
        <v>45151</v>
      </c>
    </row>
    <row r="322" spans="1:15" x14ac:dyDescent="0.25">
      <c r="A322" t="s">
        <v>1693</v>
      </c>
      <c r="B322" t="s">
        <v>1694</v>
      </c>
      <c r="C322" t="s">
        <v>1693</v>
      </c>
      <c r="D322" t="s">
        <v>16</v>
      </c>
      <c r="F322" s="161" t="s">
        <v>3394</v>
      </c>
      <c r="G322" t="s">
        <v>700</v>
      </c>
      <c r="H322" s="1" t="s">
        <v>3393</v>
      </c>
      <c r="I322" t="s">
        <v>1428</v>
      </c>
      <c r="L322" t="s">
        <v>612</v>
      </c>
      <c r="M322" t="s">
        <v>613</v>
      </c>
      <c r="N322" t="s">
        <v>618</v>
      </c>
    </row>
    <row r="323" spans="1:15" x14ac:dyDescent="0.25">
      <c r="A323" t="s">
        <v>1695</v>
      </c>
      <c r="B323" t="s">
        <v>1696</v>
      </c>
      <c r="C323" t="s">
        <v>1695</v>
      </c>
      <c r="D323" t="s">
        <v>16</v>
      </c>
      <c r="F323" s="161" t="s">
        <v>3394</v>
      </c>
      <c r="G323" t="s">
        <v>744</v>
      </c>
      <c r="H323" s="1" t="s">
        <v>3393</v>
      </c>
      <c r="I323" t="s">
        <v>1697</v>
      </c>
      <c r="K323" t="s">
        <v>1698</v>
      </c>
      <c r="L323" t="s">
        <v>612</v>
      </c>
      <c r="M323" t="s">
        <v>613</v>
      </c>
      <c r="N323" s="154" t="s">
        <v>3391</v>
      </c>
    </row>
    <row r="324" spans="1:15" x14ac:dyDescent="0.25">
      <c r="A324" t="s">
        <v>567</v>
      </c>
      <c r="B324" t="s">
        <v>1699</v>
      </c>
      <c r="C324" t="s">
        <v>567</v>
      </c>
      <c r="D324" t="s">
        <v>16</v>
      </c>
      <c r="E324" t="s">
        <v>15</v>
      </c>
      <c r="F324" s="161" t="s">
        <v>3394</v>
      </c>
      <c r="G324" t="s">
        <v>1235</v>
      </c>
      <c r="H324" s="1" t="s">
        <v>111</v>
      </c>
      <c r="I324" t="s">
        <v>977</v>
      </c>
      <c r="K324" t="s">
        <v>1700</v>
      </c>
      <c r="L324" t="s">
        <v>612</v>
      </c>
      <c r="M324" t="s">
        <v>613</v>
      </c>
      <c r="N324" t="s">
        <v>618</v>
      </c>
      <c r="O324" s="155">
        <v>45744</v>
      </c>
    </row>
    <row r="325" spans="1:15" x14ac:dyDescent="0.25">
      <c r="A325" t="s">
        <v>1701</v>
      </c>
      <c r="B325" t="s">
        <v>1702</v>
      </c>
      <c r="C325" t="s">
        <v>1701</v>
      </c>
      <c r="D325" t="s">
        <v>16</v>
      </c>
      <c r="F325" s="161" t="s">
        <v>3394</v>
      </c>
      <c r="G325" t="s">
        <v>752</v>
      </c>
      <c r="H325" s="1" t="s">
        <v>3393</v>
      </c>
      <c r="I325" t="s">
        <v>1703</v>
      </c>
      <c r="L325" t="s">
        <v>612</v>
      </c>
      <c r="M325" t="s">
        <v>613</v>
      </c>
      <c r="N325" t="s">
        <v>618</v>
      </c>
    </row>
    <row r="326" spans="1:15" x14ac:dyDescent="0.25">
      <c r="A326" t="s">
        <v>440</v>
      </c>
      <c r="B326" t="s">
        <v>1704</v>
      </c>
      <c r="C326" t="s">
        <v>440</v>
      </c>
      <c r="D326" t="s">
        <v>16</v>
      </c>
      <c r="E326" t="s">
        <v>19</v>
      </c>
      <c r="F326" s="161" t="s">
        <v>3394</v>
      </c>
      <c r="G326" t="s">
        <v>640</v>
      </c>
      <c r="H326" s="1" t="s">
        <v>111</v>
      </c>
      <c r="I326" t="s">
        <v>734</v>
      </c>
      <c r="L326" t="s">
        <v>612</v>
      </c>
      <c r="M326" t="s">
        <v>613</v>
      </c>
      <c r="N326" t="s">
        <v>618</v>
      </c>
      <c r="O326" s="155">
        <v>46083</v>
      </c>
    </row>
    <row r="327" spans="1:15" x14ac:dyDescent="0.25">
      <c r="A327" t="s">
        <v>292</v>
      </c>
      <c r="B327" t="s">
        <v>1705</v>
      </c>
      <c r="C327" t="s">
        <v>292</v>
      </c>
      <c r="D327" t="s">
        <v>16</v>
      </c>
      <c r="E327" t="s">
        <v>15</v>
      </c>
      <c r="F327" s="161" t="s">
        <v>3394</v>
      </c>
      <c r="G327" t="s">
        <v>768</v>
      </c>
      <c r="H327" s="1" t="s">
        <v>3393</v>
      </c>
      <c r="I327" t="s">
        <v>769</v>
      </c>
      <c r="K327" t="s">
        <v>1706</v>
      </c>
      <c r="L327" t="s">
        <v>612</v>
      </c>
      <c r="M327" t="s">
        <v>613</v>
      </c>
      <c r="N327" t="s">
        <v>655</v>
      </c>
      <c r="O327" s="155">
        <v>44523</v>
      </c>
    </row>
    <row r="328" spans="1:15" x14ac:dyDescent="0.25">
      <c r="A328" t="s">
        <v>1715</v>
      </c>
      <c r="B328" t="s">
        <v>1716</v>
      </c>
      <c r="C328" t="s">
        <v>1715</v>
      </c>
      <c r="D328" t="s">
        <v>16</v>
      </c>
      <c r="F328" s="161" t="s">
        <v>3394</v>
      </c>
      <c r="G328" t="s">
        <v>716</v>
      </c>
      <c r="H328" s="1" t="s">
        <v>3393</v>
      </c>
      <c r="I328" t="s">
        <v>1717</v>
      </c>
      <c r="L328" t="s">
        <v>612</v>
      </c>
      <c r="M328" t="s">
        <v>613</v>
      </c>
      <c r="N328" t="s">
        <v>655</v>
      </c>
    </row>
    <row r="329" spans="1:15" x14ac:dyDescent="0.25">
      <c r="A329" t="s">
        <v>1718</v>
      </c>
      <c r="B329" t="s">
        <v>1719</v>
      </c>
      <c r="C329" t="s">
        <v>1718</v>
      </c>
      <c r="D329" t="s">
        <v>16</v>
      </c>
      <c r="F329" s="161" t="s">
        <v>3394</v>
      </c>
      <c r="G329" t="s">
        <v>1190</v>
      </c>
      <c r="H329" s="1" t="s">
        <v>3393</v>
      </c>
      <c r="I329" t="s">
        <v>1720</v>
      </c>
      <c r="K329" t="s">
        <v>1721</v>
      </c>
      <c r="L329" t="s">
        <v>612</v>
      </c>
      <c r="M329" t="s">
        <v>613</v>
      </c>
      <c r="N329" s="154" t="s">
        <v>3391</v>
      </c>
    </row>
    <row r="330" spans="1:15" x14ac:dyDescent="0.25">
      <c r="A330" t="s">
        <v>466</v>
      </c>
      <c r="B330" t="s">
        <v>1722</v>
      </c>
      <c r="C330" t="s">
        <v>466</v>
      </c>
      <c r="D330" t="s">
        <v>16</v>
      </c>
      <c r="E330" t="s">
        <v>15</v>
      </c>
      <c r="F330" s="161" t="s">
        <v>3394</v>
      </c>
      <c r="G330" t="s">
        <v>749</v>
      </c>
      <c r="H330" s="1" t="s">
        <v>594</v>
      </c>
      <c r="I330" t="s">
        <v>1723</v>
      </c>
      <c r="K330" t="s">
        <v>1724</v>
      </c>
      <c r="L330" t="s">
        <v>612</v>
      </c>
      <c r="M330" t="s">
        <v>613</v>
      </c>
      <c r="N330" t="s">
        <v>618</v>
      </c>
      <c r="O330" s="155">
        <v>45151</v>
      </c>
    </row>
    <row r="331" spans="1:15" x14ac:dyDescent="0.25">
      <c r="A331" t="s">
        <v>1725</v>
      </c>
      <c r="B331" t="s">
        <v>1726</v>
      </c>
      <c r="C331" t="s">
        <v>1725</v>
      </c>
      <c r="D331" t="s">
        <v>16</v>
      </c>
      <c r="F331" s="161" t="s">
        <v>3394</v>
      </c>
      <c r="G331" t="s">
        <v>1346</v>
      </c>
      <c r="H331" s="1" t="s">
        <v>3393</v>
      </c>
      <c r="I331" t="s">
        <v>1214</v>
      </c>
      <c r="L331" t="s">
        <v>612</v>
      </c>
      <c r="M331" t="s">
        <v>613</v>
      </c>
      <c r="N331" t="s">
        <v>618</v>
      </c>
    </row>
    <row r="332" spans="1:15" x14ac:dyDescent="0.25">
      <c r="A332" t="s">
        <v>1727</v>
      </c>
      <c r="B332" t="s">
        <v>1728</v>
      </c>
      <c r="C332" t="s">
        <v>1727</v>
      </c>
      <c r="D332" t="s">
        <v>16</v>
      </c>
      <c r="F332" s="161" t="s">
        <v>3394</v>
      </c>
      <c r="G332" t="s">
        <v>653</v>
      </c>
      <c r="H332" s="1" t="s">
        <v>3393</v>
      </c>
      <c r="I332" t="s">
        <v>1500</v>
      </c>
      <c r="K332" t="s">
        <v>1729</v>
      </c>
      <c r="L332" t="s">
        <v>612</v>
      </c>
      <c r="M332" t="s">
        <v>613</v>
      </c>
      <c r="N332" t="s">
        <v>655</v>
      </c>
    </row>
    <row r="333" spans="1:15" x14ac:dyDescent="0.25">
      <c r="A333" t="s">
        <v>402</v>
      </c>
      <c r="B333" t="s">
        <v>1730</v>
      </c>
      <c r="C333" t="s">
        <v>402</v>
      </c>
      <c r="D333" t="s">
        <v>16</v>
      </c>
      <c r="E333" t="s">
        <v>15</v>
      </c>
      <c r="F333" s="161" t="s">
        <v>3394</v>
      </c>
      <c r="G333" t="s">
        <v>703</v>
      </c>
      <c r="H333" s="1" t="s">
        <v>3393</v>
      </c>
      <c r="I333" t="s">
        <v>958</v>
      </c>
      <c r="K333" t="s">
        <v>1731</v>
      </c>
      <c r="L333" t="s">
        <v>612</v>
      </c>
      <c r="M333" t="s">
        <v>613</v>
      </c>
      <c r="N333" t="s">
        <v>618</v>
      </c>
      <c r="O333" s="155">
        <v>45411</v>
      </c>
    </row>
    <row r="334" spans="1:15" x14ac:dyDescent="0.25">
      <c r="A334" t="s">
        <v>403</v>
      </c>
      <c r="B334" t="s">
        <v>1732</v>
      </c>
      <c r="C334" t="s">
        <v>403</v>
      </c>
      <c r="D334" t="s">
        <v>16</v>
      </c>
      <c r="E334" t="s">
        <v>15</v>
      </c>
      <c r="F334" s="161" t="s">
        <v>3394</v>
      </c>
      <c r="G334" t="s">
        <v>703</v>
      </c>
      <c r="H334" s="1" t="s">
        <v>3393</v>
      </c>
      <c r="I334" t="s">
        <v>641</v>
      </c>
      <c r="K334" t="s">
        <v>1733</v>
      </c>
      <c r="L334" t="s">
        <v>612</v>
      </c>
      <c r="M334" t="s">
        <v>613</v>
      </c>
      <c r="N334" t="s">
        <v>618</v>
      </c>
      <c r="O334" s="155">
        <v>45794</v>
      </c>
    </row>
    <row r="335" spans="1:15" x14ac:dyDescent="0.25">
      <c r="A335" t="s">
        <v>399</v>
      </c>
      <c r="B335" t="s">
        <v>1735</v>
      </c>
      <c r="C335" t="s">
        <v>399</v>
      </c>
      <c r="D335" t="s">
        <v>16</v>
      </c>
      <c r="E335" t="s">
        <v>15</v>
      </c>
      <c r="F335" s="161" t="s">
        <v>3394</v>
      </c>
      <c r="G335" t="s">
        <v>703</v>
      </c>
      <c r="H335" s="1" t="s">
        <v>3393</v>
      </c>
      <c r="I335" t="s">
        <v>958</v>
      </c>
      <c r="K335" t="s">
        <v>1736</v>
      </c>
      <c r="L335" t="s">
        <v>612</v>
      </c>
      <c r="M335" t="s">
        <v>613</v>
      </c>
      <c r="N335" t="s">
        <v>618</v>
      </c>
      <c r="O335" s="155">
        <v>45411</v>
      </c>
    </row>
    <row r="336" spans="1:15" x14ac:dyDescent="0.25">
      <c r="A336" t="s">
        <v>1740</v>
      </c>
      <c r="B336" t="s">
        <v>1741</v>
      </c>
      <c r="C336" t="s">
        <v>1740</v>
      </c>
      <c r="D336" t="s">
        <v>16</v>
      </c>
      <c r="F336" s="161" t="s">
        <v>3394</v>
      </c>
      <c r="G336" t="s">
        <v>700</v>
      </c>
      <c r="H336" s="1" t="s">
        <v>3393</v>
      </c>
      <c r="I336" t="s">
        <v>1742</v>
      </c>
      <c r="K336" t="s">
        <v>1743</v>
      </c>
      <c r="L336" t="s">
        <v>612</v>
      </c>
      <c r="M336" t="s">
        <v>613</v>
      </c>
      <c r="N336" t="s">
        <v>618</v>
      </c>
    </row>
    <row r="337" spans="1:15" x14ac:dyDescent="0.25">
      <c r="A337" t="s">
        <v>1751</v>
      </c>
      <c r="B337" t="s">
        <v>1752</v>
      </c>
      <c r="C337" t="s">
        <v>1751</v>
      </c>
      <c r="D337" t="s">
        <v>16</v>
      </c>
      <c r="F337" s="161" t="s">
        <v>3394</v>
      </c>
      <c r="G337" t="s">
        <v>1753</v>
      </c>
      <c r="H337" s="1" t="s">
        <v>3393</v>
      </c>
      <c r="I337" t="s">
        <v>1754</v>
      </c>
      <c r="L337" t="s">
        <v>612</v>
      </c>
      <c r="M337" t="s">
        <v>613</v>
      </c>
      <c r="N337" t="s">
        <v>655</v>
      </c>
    </row>
    <row r="338" spans="1:15" x14ac:dyDescent="0.25">
      <c r="A338" t="s">
        <v>33</v>
      </c>
      <c r="B338" t="s">
        <v>1758</v>
      </c>
      <c r="C338" t="s">
        <v>33</v>
      </c>
      <c r="D338" t="s">
        <v>16</v>
      </c>
      <c r="E338" t="s">
        <v>19</v>
      </c>
      <c r="F338" s="161" t="s">
        <v>3394</v>
      </c>
      <c r="G338" t="s">
        <v>616</v>
      </c>
      <c r="H338" s="1" t="s">
        <v>593</v>
      </c>
      <c r="I338" t="s">
        <v>1759</v>
      </c>
      <c r="K338" t="s">
        <v>1760</v>
      </c>
      <c r="L338" t="s">
        <v>612</v>
      </c>
      <c r="M338" t="s">
        <v>613</v>
      </c>
      <c r="N338" t="s">
        <v>618</v>
      </c>
      <c r="O338" s="155">
        <v>45280</v>
      </c>
    </row>
    <row r="339" spans="1:15" x14ac:dyDescent="0.25">
      <c r="A339" t="s">
        <v>494</v>
      </c>
      <c r="B339" t="s">
        <v>1761</v>
      </c>
      <c r="C339" t="s">
        <v>494</v>
      </c>
      <c r="D339" t="s">
        <v>16</v>
      </c>
      <c r="E339" t="s">
        <v>15</v>
      </c>
      <c r="F339" s="161" t="s">
        <v>3394</v>
      </c>
      <c r="G339" t="s">
        <v>700</v>
      </c>
      <c r="H339" s="1" t="s">
        <v>587</v>
      </c>
      <c r="I339" t="s">
        <v>1762</v>
      </c>
      <c r="L339" t="s">
        <v>612</v>
      </c>
      <c r="M339" t="s">
        <v>613</v>
      </c>
      <c r="N339" t="s">
        <v>618</v>
      </c>
      <c r="O339" s="155">
        <v>46171</v>
      </c>
    </row>
    <row r="340" spans="1:15" x14ac:dyDescent="0.25">
      <c r="A340" t="s">
        <v>1766</v>
      </c>
      <c r="B340" t="s">
        <v>1767</v>
      </c>
      <c r="C340" t="s">
        <v>1766</v>
      </c>
      <c r="D340" t="s">
        <v>16</v>
      </c>
      <c r="F340" s="161" t="s">
        <v>3394</v>
      </c>
      <c r="G340" t="s">
        <v>1768</v>
      </c>
      <c r="H340" s="1" t="s">
        <v>3393</v>
      </c>
      <c r="I340" t="s">
        <v>1769</v>
      </c>
      <c r="K340" t="s">
        <v>1770</v>
      </c>
      <c r="L340" t="s">
        <v>612</v>
      </c>
      <c r="M340" t="s">
        <v>613</v>
      </c>
      <c r="N340" t="s">
        <v>655</v>
      </c>
    </row>
    <row r="341" spans="1:15" x14ac:dyDescent="0.25">
      <c r="A341" t="s">
        <v>1771</v>
      </c>
      <c r="B341" t="s">
        <v>1772</v>
      </c>
      <c r="C341" t="s">
        <v>1771</v>
      </c>
      <c r="D341" t="s">
        <v>16</v>
      </c>
      <c r="F341" s="161" t="s">
        <v>3394</v>
      </c>
      <c r="G341" t="s">
        <v>749</v>
      </c>
      <c r="H341" s="1" t="s">
        <v>3393</v>
      </c>
      <c r="I341" t="s">
        <v>1773</v>
      </c>
      <c r="L341" t="s">
        <v>612</v>
      </c>
      <c r="M341" t="s">
        <v>613</v>
      </c>
      <c r="N341" t="s">
        <v>618</v>
      </c>
    </row>
    <row r="342" spans="1:15" x14ac:dyDescent="0.25">
      <c r="A342" t="s">
        <v>340</v>
      </c>
      <c r="B342" t="s">
        <v>1774</v>
      </c>
      <c r="C342" t="s">
        <v>340</v>
      </c>
      <c r="D342" t="s">
        <v>16</v>
      </c>
      <c r="E342" t="s">
        <v>15</v>
      </c>
      <c r="F342" s="161" t="s">
        <v>3394</v>
      </c>
      <c r="G342" t="s">
        <v>768</v>
      </c>
      <c r="H342" s="1" t="s">
        <v>3393</v>
      </c>
      <c r="I342" t="s">
        <v>1775</v>
      </c>
      <c r="L342" t="s">
        <v>612</v>
      </c>
      <c r="M342" t="s">
        <v>613</v>
      </c>
      <c r="N342" t="s">
        <v>655</v>
      </c>
      <c r="O342" s="155">
        <v>46144</v>
      </c>
    </row>
    <row r="343" spans="1:15" x14ac:dyDescent="0.25">
      <c r="A343" t="s">
        <v>478</v>
      </c>
      <c r="B343" t="s">
        <v>1776</v>
      </c>
      <c r="C343" t="s">
        <v>478</v>
      </c>
      <c r="D343" t="s">
        <v>16</v>
      </c>
      <c r="E343" t="s">
        <v>15</v>
      </c>
      <c r="F343" s="161" t="s">
        <v>3394</v>
      </c>
      <c r="G343" t="s">
        <v>640</v>
      </c>
      <c r="H343" s="1" t="s">
        <v>111</v>
      </c>
      <c r="I343" t="s">
        <v>1777</v>
      </c>
      <c r="L343" t="s">
        <v>612</v>
      </c>
      <c r="M343" t="s">
        <v>613</v>
      </c>
      <c r="N343" t="s">
        <v>618</v>
      </c>
      <c r="O343" s="155">
        <v>45909</v>
      </c>
    </row>
    <row r="344" spans="1:15" x14ac:dyDescent="0.25">
      <c r="A344" t="s">
        <v>1781</v>
      </c>
      <c r="B344" t="s">
        <v>1782</v>
      </c>
      <c r="C344" t="s">
        <v>1781</v>
      </c>
      <c r="D344" t="s">
        <v>16</v>
      </c>
      <c r="F344" s="161" t="s">
        <v>3394</v>
      </c>
      <c r="G344" t="s">
        <v>700</v>
      </c>
      <c r="H344" s="1" t="s">
        <v>3393</v>
      </c>
      <c r="I344" t="s">
        <v>1783</v>
      </c>
      <c r="L344" t="s">
        <v>612</v>
      </c>
      <c r="M344" t="s">
        <v>613</v>
      </c>
      <c r="N344" t="s">
        <v>618</v>
      </c>
    </row>
    <row r="345" spans="1:15" x14ac:dyDescent="0.25">
      <c r="A345" t="s">
        <v>284</v>
      </c>
      <c r="B345" t="s">
        <v>1784</v>
      </c>
      <c r="C345" t="s">
        <v>284</v>
      </c>
      <c r="D345" t="s">
        <v>16</v>
      </c>
      <c r="E345" t="s">
        <v>15</v>
      </c>
      <c r="F345" s="161" t="s">
        <v>3394</v>
      </c>
      <c r="G345" t="s">
        <v>1785</v>
      </c>
      <c r="H345" s="1" t="s">
        <v>3393</v>
      </c>
      <c r="I345" t="s">
        <v>1786</v>
      </c>
      <c r="K345" t="s">
        <v>1787</v>
      </c>
      <c r="L345" t="s">
        <v>612</v>
      </c>
      <c r="M345" t="s">
        <v>613</v>
      </c>
      <c r="N345" t="s">
        <v>655</v>
      </c>
      <c r="O345" s="155">
        <v>42035</v>
      </c>
    </row>
    <row r="346" spans="1:15" x14ac:dyDescent="0.25">
      <c r="A346" t="s">
        <v>1788</v>
      </c>
      <c r="B346" t="s">
        <v>1789</v>
      </c>
      <c r="C346" t="s">
        <v>1788</v>
      </c>
      <c r="D346" t="s">
        <v>16</v>
      </c>
      <c r="F346" s="161" t="s">
        <v>3394</v>
      </c>
      <c r="G346" t="s">
        <v>1368</v>
      </c>
      <c r="H346" s="1" t="s">
        <v>3393</v>
      </c>
      <c r="I346" t="s">
        <v>1063</v>
      </c>
      <c r="L346" t="s">
        <v>612</v>
      </c>
      <c r="M346" t="s">
        <v>613</v>
      </c>
      <c r="N346" t="s">
        <v>655</v>
      </c>
    </row>
    <row r="347" spans="1:15" x14ac:dyDescent="0.25">
      <c r="A347" t="s">
        <v>1790</v>
      </c>
      <c r="B347" t="s">
        <v>1791</v>
      </c>
      <c r="C347" t="s">
        <v>1790</v>
      </c>
      <c r="D347" t="s">
        <v>16</v>
      </c>
      <c r="F347" s="161" t="s">
        <v>3394</v>
      </c>
      <c r="G347" t="s">
        <v>1368</v>
      </c>
      <c r="H347" s="1" t="s">
        <v>3393</v>
      </c>
      <c r="I347" t="s">
        <v>1792</v>
      </c>
      <c r="L347" t="s">
        <v>612</v>
      </c>
      <c r="M347" t="s">
        <v>613</v>
      </c>
      <c r="N347" t="s">
        <v>655</v>
      </c>
    </row>
    <row r="348" spans="1:15" x14ac:dyDescent="0.25">
      <c r="A348" t="s">
        <v>1793</v>
      </c>
      <c r="B348" t="s">
        <v>1794</v>
      </c>
      <c r="C348" t="s">
        <v>1793</v>
      </c>
      <c r="D348" t="s">
        <v>16</v>
      </c>
      <c r="F348" s="161" t="s">
        <v>3394</v>
      </c>
      <c r="G348" t="s">
        <v>168</v>
      </c>
      <c r="H348" s="1" t="s">
        <v>3393</v>
      </c>
      <c r="I348" t="s">
        <v>1795</v>
      </c>
      <c r="K348" t="s">
        <v>1796</v>
      </c>
      <c r="L348" t="s">
        <v>612</v>
      </c>
      <c r="M348" t="s">
        <v>613</v>
      </c>
      <c r="N348" t="s">
        <v>655</v>
      </c>
    </row>
    <row r="349" spans="1:15" x14ac:dyDescent="0.25">
      <c r="A349" t="s">
        <v>35</v>
      </c>
      <c r="B349" t="s">
        <v>1797</v>
      </c>
      <c r="C349" t="s">
        <v>35</v>
      </c>
      <c r="D349" t="s">
        <v>16</v>
      </c>
      <c r="E349" t="s">
        <v>15</v>
      </c>
      <c r="F349" s="161" t="s">
        <v>3394</v>
      </c>
      <c r="G349" t="s">
        <v>925</v>
      </c>
      <c r="H349" s="1" t="s">
        <v>593</v>
      </c>
      <c r="I349" t="s">
        <v>1798</v>
      </c>
      <c r="K349" t="s">
        <v>1799</v>
      </c>
      <c r="L349" t="s">
        <v>612</v>
      </c>
      <c r="M349" t="s">
        <v>613</v>
      </c>
      <c r="N349" t="s">
        <v>618</v>
      </c>
      <c r="O349" s="155">
        <v>45280</v>
      </c>
    </row>
    <row r="350" spans="1:15" x14ac:dyDescent="0.25">
      <c r="A350" t="s">
        <v>1800</v>
      </c>
      <c r="B350" t="s">
        <v>1801</v>
      </c>
      <c r="C350" t="s">
        <v>1800</v>
      </c>
      <c r="D350" t="s">
        <v>16</v>
      </c>
      <c r="F350" s="161" t="s">
        <v>3394</v>
      </c>
      <c r="G350" t="s">
        <v>768</v>
      </c>
      <c r="H350" s="1" t="s">
        <v>3393</v>
      </c>
      <c r="I350" t="s">
        <v>769</v>
      </c>
      <c r="K350" t="s">
        <v>1802</v>
      </c>
      <c r="L350" t="s">
        <v>612</v>
      </c>
      <c r="M350" t="s">
        <v>613</v>
      </c>
      <c r="N350" t="s">
        <v>655</v>
      </c>
    </row>
    <row r="351" spans="1:15" x14ac:dyDescent="0.25">
      <c r="A351" t="s">
        <v>1803</v>
      </c>
      <c r="B351" t="s">
        <v>1804</v>
      </c>
      <c r="C351" t="s">
        <v>1803</v>
      </c>
      <c r="D351" t="s">
        <v>16</v>
      </c>
      <c r="F351" s="161" t="s">
        <v>3394</v>
      </c>
      <c r="G351" t="s">
        <v>1805</v>
      </c>
      <c r="H351" s="1" t="s">
        <v>3393</v>
      </c>
      <c r="I351" t="s">
        <v>1524</v>
      </c>
      <c r="K351" t="s">
        <v>1806</v>
      </c>
      <c r="L351" t="s">
        <v>612</v>
      </c>
      <c r="M351" t="s">
        <v>613</v>
      </c>
      <c r="N351" t="s">
        <v>618</v>
      </c>
    </row>
    <row r="352" spans="1:15" x14ac:dyDescent="0.25">
      <c r="A352" t="s">
        <v>1807</v>
      </c>
      <c r="B352" t="s">
        <v>1808</v>
      </c>
      <c r="C352" t="s">
        <v>1807</v>
      </c>
      <c r="D352" t="s">
        <v>16</v>
      </c>
      <c r="F352" s="161" t="s">
        <v>3394</v>
      </c>
      <c r="G352" t="s">
        <v>616</v>
      </c>
      <c r="H352" s="1" t="s">
        <v>3393</v>
      </c>
      <c r="I352" t="s">
        <v>1063</v>
      </c>
      <c r="L352" t="s">
        <v>612</v>
      </c>
      <c r="M352" t="s">
        <v>613</v>
      </c>
      <c r="N352" t="s">
        <v>618</v>
      </c>
    </row>
    <row r="353" spans="1:15" x14ac:dyDescent="0.25">
      <c r="A353" t="s">
        <v>1809</v>
      </c>
      <c r="B353" t="s">
        <v>1810</v>
      </c>
      <c r="C353" t="s">
        <v>1809</v>
      </c>
      <c r="D353" t="s">
        <v>16</v>
      </c>
      <c r="F353" s="161" t="s">
        <v>3394</v>
      </c>
      <c r="G353" t="s">
        <v>775</v>
      </c>
      <c r="H353" s="1" t="s">
        <v>3393</v>
      </c>
      <c r="I353" t="s">
        <v>769</v>
      </c>
      <c r="K353" t="s">
        <v>1811</v>
      </c>
      <c r="L353" t="s">
        <v>612</v>
      </c>
      <c r="M353" t="s">
        <v>613</v>
      </c>
      <c r="N353" t="s">
        <v>655</v>
      </c>
    </row>
    <row r="354" spans="1:15" x14ac:dyDescent="0.25">
      <c r="A354" t="s">
        <v>1812</v>
      </c>
      <c r="B354" t="s">
        <v>1813</v>
      </c>
      <c r="C354" t="s">
        <v>1812</v>
      </c>
      <c r="D354" t="s">
        <v>16</v>
      </c>
      <c r="F354" s="161" t="s">
        <v>3394</v>
      </c>
      <c r="H354" s="1" t="s">
        <v>3393</v>
      </c>
      <c r="K354" t="s">
        <v>1814</v>
      </c>
      <c r="L354" t="s">
        <v>612</v>
      </c>
      <c r="M354" t="s">
        <v>613</v>
      </c>
      <c r="N354" t="s">
        <v>655</v>
      </c>
    </row>
    <row r="355" spans="1:15" x14ac:dyDescent="0.25">
      <c r="A355" t="s">
        <v>424</v>
      </c>
      <c r="B355" t="s">
        <v>1815</v>
      </c>
      <c r="C355" t="s">
        <v>424</v>
      </c>
      <c r="D355" t="s">
        <v>16</v>
      </c>
      <c r="E355" t="s">
        <v>19</v>
      </c>
      <c r="F355" s="161" t="s">
        <v>3394</v>
      </c>
      <c r="G355" t="s">
        <v>749</v>
      </c>
      <c r="H355" s="1" t="s">
        <v>594</v>
      </c>
      <c r="I355" t="s">
        <v>1816</v>
      </c>
      <c r="K355" t="s">
        <v>1817</v>
      </c>
      <c r="L355" t="s">
        <v>612</v>
      </c>
      <c r="M355" t="s">
        <v>613</v>
      </c>
      <c r="N355" t="s">
        <v>618</v>
      </c>
      <c r="O355" s="155">
        <v>45212</v>
      </c>
    </row>
    <row r="356" spans="1:15" x14ac:dyDescent="0.25">
      <c r="A356" t="s">
        <v>1823</v>
      </c>
      <c r="B356" t="s">
        <v>1824</v>
      </c>
      <c r="C356" t="s">
        <v>1823</v>
      </c>
      <c r="D356" t="s">
        <v>16</v>
      </c>
      <c r="F356" s="161" t="s">
        <v>3394</v>
      </c>
      <c r="G356" t="s">
        <v>749</v>
      </c>
      <c r="H356" s="1" t="s">
        <v>3393</v>
      </c>
      <c r="I356" t="s">
        <v>1825</v>
      </c>
      <c r="L356" t="s">
        <v>612</v>
      </c>
      <c r="M356" t="s">
        <v>613</v>
      </c>
      <c r="N356" t="s">
        <v>618</v>
      </c>
    </row>
    <row r="357" spans="1:15" x14ac:dyDescent="0.25">
      <c r="A357" t="s">
        <v>1826</v>
      </c>
      <c r="B357" t="s">
        <v>1827</v>
      </c>
      <c r="C357" t="s">
        <v>1826</v>
      </c>
      <c r="D357" t="s">
        <v>16</v>
      </c>
      <c r="F357" s="161" t="s">
        <v>3394</v>
      </c>
      <c r="G357" t="s">
        <v>752</v>
      </c>
      <c r="H357" s="1" t="s">
        <v>3393</v>
      </c>
      <c r="I357" t="s">
        <v>1828</v>
      </c>
      <c r="K357" t="s">
        <v>1829</v>
      </c>
      <c r="L357" t="s">
        <v>612</v>
      </c>
      <c r="M357" t="s">
        <v>613</v>
      </c>
      <c r="N357" t="s">
        <v>618</v>
      </c>
    </row>
    <row r="358" spans="1:15" x14ac:dyDescent="0.25">
      <c r="A358" t="s">
        <v>268</v>
      </c>
      <c r="B358" t="s">
        <v>1834</v>
      </c>
      <c r="C358" t="s">
        <v>268</v>
      </c>
      <c r="D358" t="s">
        <v>16</v>
      </c>
      <c r="E358" t="s">
        <v>19</v>
      </c>
      <c r="F358" s="161" t="s">
        <v>3394</v>
      </c>
      <c r="G358" t="s">
        <v>1835</v>
      </c>
      <c r="H358" s="1" t="s">
        <v>3393</v>
      </c>
      <c r="I358" t="s">
        <v>977</v>
      </c>
      <c r="L358" t="s">
        <v>612</v>
      </c>
      <c r="M358" t="s">
        <v>613</v>
      </c>
      <c r="N358" t="s">
        <v>655</v>
      </c>
      <c r="O358" s="155">
        <v>45915</v>
      </c>
    </row>
    <row r="359" spans="1:15" x14ac:dyDescent="0.25">
      <c r="A359" t="s">
        <v>1836</v>
      </c>
      <c r="B359" t="s">
        <v>1837</v>
      </c>
      <c r="C359" t="s">
        <v>1836</v>
      </c>
      <c r="D359" t="s">
        <v>16</v>
      </c>
      <c r="F359" s="161" t="s">
        <v>3394</v>
      </c>
      <c r="G359" t="s">
        <v>819</v>
      </c>
      <c r="H359" s="1" t="s">
        <v>3393</v>
      </c>
      <c r="I359" t="s">
        <v>1838</v>
      </c>
      <c r="K359" t="s">
        <v>1839</v>
      </c>
      <c r="L359" t="s">
        <v>612</v>
      </c>
      <c r="M359" t="s">
        <v>613</v>
      </c>
      <c r="N359" t="s">
        <v>655</v>
      </c>
    </row>
    <row r="360" spans="1:15" x14ac:dyDescent="0.25">
      <c r="A360" t="s">
        <v>1840</v>
      </c>
      <c r="B360" t="s">
        <v>1841</v>
      </c>
      <c r="C360" t="s">
        <v>1840</v>
      </c>
      <c r="D360" t="s">
        <v>16</v>
      </c>
      <c r="F360" s="161" t="s">
        <v>3394</v>
      </c>
      <c r="G360" t="s">
        <v>768</v>
      </c>
      <c r="H360" s="1" t="s">
        <v>3393</v>
      </c>
      <c r="I360" t="s">
        <v>769</v>
      </c>
      <c r="K360" t="s">
        <v>1842</v>
      </c>
      <c r="L360" t="s">
        <v>612</v>
      </c>
      <c r="M360" t="s">
        <v>613</v>
      </c>
      <c r="N360" t="s">
        <v>655</v>
      </c>
    </row>
    <row r="361" spans="1:15" x14ac:dyDescent="0.25">
      <c r="A361" t="s">
        <v>1843</v>
      </c>
      <c r="B361" t="s">
        <v>1844</v>
      </c>
      <c r="C361" t="s">
        <v>1843</v>
      </c>
      <c r="D361" t="s">
        <v>16</v>
      </c>
      <c r="F361" s="161" t="s">
        <v>3394</v>
      </c>
      <c r="G361" t="s">
        <v>1513</v>
      </c>
      <c r="H361" s="1" t="s">
        <v>3393</v>
      </c>
      <c r="I361" t="s">
        <v>1845</v>
      </c>
      <c r="K361" t="s">
        <v>1846</v>
      </c>
      <c r="L361" t="s">
        <v>612</v>
      </c>
      <c r="M361" t="s">
        <v>613</v>
      </c>
      <c r="N361" s="154" t="s">
        <v>3390</v>
      </c>
    </row>
    <row r="362" spans="1:15" x14ac:dyDescent="0.25">
      <c r="A362" t="s">
        <v>1847</v>
      </c>
      <c r="B362" t="s">
        <v>1848</v>
      </c>
      <c r="C362" t="s">
        <v>1847</v>
      </c>
      <c r="D362" t="s">
        <v>16</v>
      </c>
      <c r="F362" s="161" t="s">
        <v>3394</v>
      </c>
      <c r="G362" t="s">
        <v>1849</v>
      </c>
      <c r="H362" s="1" t="s">
        <v>3393</v>
      </c>
      <c r="I362" t="s">
        <v>1343</v>
      </c>
      <c r="L362" t="s">
        <v>612</v>
      </c>
      <c r="M362" t="s">
        <v>613</v>
      </c>
      <c r="N362" t="s">
        <v>655</v>
      </c>
    </row>
    <row r="363" spans="1:15" x14ac:dyDescent="0.25">
      <c r="A363" t="s">
        <v>25</v>
      </c>
      <c r="B363" t="s">
        <v>1850</v>
      </c>
      <c r="C363" t="s">
        <v>25</v>
      </c>
      <c r="D363" t="s">
        <v>16</v>
      </c>
      <c r="E363" t="s">
        <v>15</v>
      </c>
      <c r="F363" s="161" t="s">
        <v>3394</v>
      </c>
      <c r="G363" t="s">
        <v>876</v>
      </c>
      <c r="H363" s="1" t="s">
        <v>590</v>
      </c>
      <c r="I363" t="s">
        <v>877</v>
      </c>
      <c r="K363" t="s">
        <v>1851</v>
      </c>
      <c r="L363" t="s">
        <v>612</v>
      </c>
      <c r="M363" t="s">
        <v>613</v>
      </c>
      <c r="N363" t="s">
        <v>618</v>
      </c>
      <c r="O363" s="155">
        <v>45615</v>
      </c>
    </row>
    <row r="364" spans="1:15" x14ac:dyDescent="0.25">
      <c r="A364" t="s">
        <v>501</v>
      </c>
      <c r="B364" t="s">
        <v>1852</v>
      </c>
      <c r="C364" t="s">
        <v>501</v>
      </c>
      <c r="D364" t="s">
        <v>16</v>
      </c>
      <c r="E364" t="s">
        <v>15</v>
      </c>
      <c r="F364" s="161" t="s">
        <v>3394</v>
      </c>
      <c r="G364" t="s">
        <v>1853</v>
      </c>
      <c r="H364" s="1" t="s">
        <v>593</v>
      </c>
      <c r="I364" t="s">
        <v>1854</v>
      </c>
      <c r="K364" t="s">
        <v>1855</v>
      </c>
      <c r="L364" t="s">
        <v>612</v>
      </c>
      <c r="M364" t="s">
        <v>613</v>
      </c>
      <c r="N364" t="s">
        <v>618</v>
      </c>
      <c r="O364" s="155">
        <v>45151</v>
      </c>
    </row>
    <row r="365" spans="1:15" x14ac:dyDescent="0.25">
      <c r="A365" t="s">
        <v>1856</v>
      </c>
      <c r="B365" t="s">
        <v>1857</v>
      </c>
      <c r="C365" t="s">
        <v>1856</v>
      </c>
      <c r="D365" t="s">
        <v>16</v>
      </c>
      <c r="F365" s="161" t="s">
        <v>3394</v>
      </c>
      <c r="G365" t="s">
        <v>700</v>
      </c>
      <c r="H365" s="1" t="s">
        <v>3393</v>
      </c>
      <c r="I365" t="s">
        <v>985</v>
      </c>
      <c r="K365" t="s">
        <v>1858</v>
      </c>
      <c r="L365" t="s">
        <v>612</v>
      </c>
      <c r="M365" t="s">
        <v>613</v>
      </c>
      <c r="N365" t="s">
        <v>618</v>
      </c>
    </row>
    <row r="366" spans="1:15" x14ac:dyDescent="0.25">
      <c r="A366" t="s">
        <v>81</v>
      </c>
      <c r="B366" t="s">
        <v>1859</v>
      </c>
      <c r="C366" t="s">
        <v>81</v>
      </c>
      <c r="D366" t="s">
        <v>16</v>
      </c>
      <c r="E366" t="s">
        <v>15</v>
      </c>
      <c r="F366" s="161" t="s">
        <v>3394</v>
      </c>
      <c r="G366" t="s">
        <v>925</v>
      </c>
      <c r="H366" s="1" t="s">
        <v>593</v>
      </c>
      <c r="I366" t="s">
        <v>1762</v>
      </c>
      <c r="K366" t="s">
        <v>1860</v>
      </c>
      <c r="L366" t="s">
        <v>612</v>
      </c>
      <c r="M366" t="s">
        <v>613</v>
      </c>
      <c r="N366" t="s">
        <v>618</v>
      </c>
      <c r="O366" s="155">
        <v>45705</v>
      </c>
    </row>
    <row r="367" spans="1:15" x14ac:dyDescent="0.25">
      <c r="A367" t="s">
        <v>52</v>
      </c>
      <c r="B367" t="s">
        <v>1861</v>
      </c>
      <c r="C367" t="s">
        <v>52</v>
      </c>
      <c r="D367" t="s">
        <v>16</v>
      </c>
      <c r="E367" t="s">
        <v>15</v>
      </c>
      <c r="F367" s="161" t="s">
        <v>3394</v>
      </c>
      <c r="G367" t="s">
        <v>616</v>
      </c>
      <c r="H367" s="1" t="s">
        <v>593</v>
      </c>
      <c r="I367" t="s">
        <v>1862</v>
      </c>
      <c r="K367" t="s">
        <v>1863</v>
      </c>
      <c r="L367" t="s">
        <v>612</v>
      </c>
      <c r="M367" t="s">
        <v>613</v>
      </c>
      <c r="N367" t="s">
        <v>618</v>
      </c>
      <c r="O367" s="155">
        <v>45080</v>
      </c>
    </row>
    <row r="368" spans="1:15" x14ac:dyDescent="0.25">
      <c r="A368" t="s">
        <v>514</v>
      </c>
      <c r="B368" t="s">
        <v>1864</v>
      </c>
      <c r="C368" t="s">
        <v>514</v>
      </c>
      <c r="D368" t="s">
        <v>16</v>
      </c>
      <c r="E368" t="s">
        <v>15</v>
      </c>
      <c r="F368" s="161" t="s">
        <v>3394</v>
      </c>
      <c r="G368" t="s">
        <v>616</v>
      </c>
      <c r="H368" s="1" t="s">
        <v>593</v>
      </c>
      <c r="I368" t="s">
        <v>1865</v>
      </c>
      <c r="L368" t="s">
        <v>612</v>
      </c>
      <c r="M368" t="s">
        <v>613</v>
      </c>
      <c r="N368" t="s">
        <v>618</v>
      </c>
      <c r="O368" s="155">
        <v>46114</v>
      </c>
    </row>
    <row r="369" spans="1:15" x14ac:dyDescent="0.25">
      <c r="A369" t="s">
        <v>1868</v>
      </c>
      <c r="B369" t="s">
        <v>1869</v>
      </c>
      <c r="C369" t="s">
        <v>1868</v>
      </c>
      <c r="D369" t="s">
        <v>16</v>
      </c>
      <c r="F369" s="161" t="s">
        <v>3394</v>
      </c>
      <c r="G369" t="s">
        <v>752</v>
      </c>
      <c r="H369" s="1" t="s">
        <v>3393</v>
      </c>
      <c r="I369" t="s">
        <v>1870</v>
      </c>
      <c r="K369" t="s">
        <v>1871</v>
      </c>
      <c r="L369" t="s">
        <v>612</v>
      </c>
      <c r="M369" t="s">
        <v>613</v>
      </c>
      <c r="N369" t="s">
        <v>618</v>
      </c>
    </row>
    <row r="370" spans="1:15" x14ac:dyDescent="0.25">
      <c r="A370" t="s">
        <v>1872</v>
      </c>
      <c r="B370" t="s">
        <v>1873</v>
      </c>
      <c r="C370" t="s">
        <v>1872</v>
      </c>
      <c r="D370" t="s">
        <v>16</v>
      </c>
      <c r="F370" s="161" t="s">
        <v>3394</v>
      </c>
      <c r="G370" t="s">
        <v>1406</v>
      </c>
      <c r="H370" s="1" t="s">
        <v>3393</v>
      </c>
      <c r="I370" t="s">
        <v>1874</v>
      </c>
      <c r="K370" t="s">
        <v>1875</v>
      </c>
      <c r="L370" t="s">
        <v>612</v>
      </c>
      <c r="M370" t="s">
        <v>613</v>
      </c>
      <c r="N370" t="s">
        <v>655</v>
      </c>
    </row>
    <row r="371" spans="1:15" x14ac:dyDescent="0.25">
      <c r="A371" t="s">
        <v>1876</v>
      </c>
      <c r="B371" t="s">
        <v>1877</v>
      </c>
      <c r="C371" t="s">
        <v>1876</v>
      </c>
      <c r="D371" t="s">
        <v>16</v>
      </c>
      <c r="F371" s="161" t="s">
        <v>3394</v>
      </c>
      <c r="G371" t="s">
        <v>716</v>
      </c>
      <c r="H371" s="1" t="s">
        <v>3393</v>
      </c>
      <c r="I371" t="s">
        <v>1113</v>
      </c>
      <c r="L371" t="s">
        <v>612</v>
      </c>
      <c r="M371" t="s">
        <v>613</v>
      </c>
      <c r="N371" t="s">
        <v>655</v>
      </c>
    </row>
    <row r="372" spans="1:15" x14ac:dyDescent="0.25">
      <c r="A372" t="s">
        <v>1878</v>
      </c>
      <c r="B372" t="s">
        <v>1879</v>
      </c>
      <c r="C372" t="s">
        <v>1878</v>
      </c>
      <c r="D372" t="s">
        <v>16</v>
      </c>
      <c r="F372" s="161" t="s">
        <v>3394</v>
      </c>
      <c r="G372" t="s">
        <v>1346</v>
      </c>
      <c r="H372" s="1" t="s">
        <v>3393</v>
      </c>
      <c r="I372" t="s">
        <v>1880</v>
      </c>
      <c r="K372" t="s">
        <v>1881</v>
      </c>
      <c r="L372" t="s">
        <v>612</v>
      </c>
      <c r="M372" t="s">
        <v>613</v>
      </c>
      <c r="N372" t="s">
        <v>618</v>
      </c>
    </row>
    <row r="373" spans="1:15" x14ac:dyDescent="0.25">
      <c r="A373" t="s">
        <v>553</v>
      </c>
      <c r="B373" t="s">
        <v>1882</v>
      </c>
      <c r="C373" t="s">
        <v>553</v>
      </c>
      <c r="D373" t="s">
        <v>16</v>
      </c>
      <c r="E373" t="s">
        <v>15</v>
      </c>
      <c r="F373" s="161" t="s">
        <v>3394</v>
      </c>
      <c r="G373" t="s">
        <v>1883</v>
      </c>
      <c r="H373" s="1" t="s">
        <v>596</v>
      </c>
      <c r="I373" t="s">
        <v>1884</v>
      </c>
      <c r="K373" t="s">
        <v>1885</v>
      </c>
      <c r="L373" t="s">
        <v>612</v>
      </c>
      <c r="M373" t="s">
        <v>613</v>
      </c>
      <c r="N373" t="s">
        <v>618</v>
      </c>
      <c r="O373" s="155">
        <v>45383</v>
      </c>
    </row>
    <row r="374" spans="1:15" x14ac:dyDescent="0.25">
      <c r="A374" t="s">
        <v>1886</v>
      </c>
      <c r="B374" t="s">
        <v>1887</v>
      </c>
      <c r="C374" t="s">
        <v>1886</v>
      </c>
      <c r="D374" t="s">
        <v>16</v>
      </c>
      <c r="F374" s="161" t="s">
        <v>3394</v>
      </c>
      <c r="G374" t="s">
        <v>768</v>
      </c>
      <c r="H374" s="1" t="s">
        <v>3393</v>
      </c>
      <c r="I374" t="s">
        <v>769</v>
      </c>
      <c r="K374" t="s">
        <v>1888</v>
      </c>
      <c r="L374" t="s">
        <v>612</v>
      </c>
      <c r="M374" t="s">
        <v>613</v>
      </c>
      <c r="N374" t="s">
        <v>655</v>
      </c>
    </row>
    <row r="375" spans="1:15" x14ac:dyDescent="0.25">
      <c r="A375" t="s">
        <v>360</v>
      </c>
      <c r="B375" t="s">
        <v>1889</v>
      </c>
      <c r="C375" t="s">
        <v>360</v>
      </c>
      <c r="D375" t="s">
        <v>16</v>
      </c>
      <c r="E375" t="s">
        <v>15</v>
      </c>
      <c r="F375" s="161" t="s">
        <v>3394</v>
      </c>
      <c r="G375" t="s">
        <v>621</v>
      </c>
      <c r="H375" s="1" t="s">
        <v>361</v>
      </c>
      <c r="I375" t="s">
        <v>877</v>
      </c>
      <c r="K375" t="s">
        <v>1890</v>
      </c>
      <c r="L375" t="s">
        <v>612</v>
      </c>
      <c r="M375" t="s">
        <v>613</v>
      </c>
      <c r="N375" t="s">
        <v>618</v>
      </c>
      <c r="O375" s="155">
        <v>45709</v>
      </c>
    </row>
    <row r="376" spans="1:15" x14ac:dyDescent="0.25">
      <c r="A376" t="s">
        <v>1891</v>
      </c>
      <c r="B376" t="s">
        <v>1892</v>
      </c>
      <c r="C376" t="s">
        <v>1891</v>
      </c>
      <c r="D376" t="s">
        <v>16</v>
      </c>
      <c r="F376" s="161" t="s">
        <v>3394</v>
      </c>
      <c r="G376" t="s">
        <v>640</v>
      </c>
      <c r="H376" s="1" t="s">
        <v>3393</v>
      </c>
      <c r="I376" t="s">
        <v>1492</v>
      </c>
      <c r="L376" t="s">
        <v>612</v>
      </c>
      <c r="M376" t="s">
        <v>613</v>
      </c>
      <c r="N376" t="s">
        <v>618</v>
      </c>
    </row>
    <row r="377" spans="1:15" x14ac:dyDescent="0.25">
      <c r="A377" t="s">
        <v>1893</v>
      </c>
      <c r="B377" t="s">
        <v>1894</v>
      </c>
      <c r="C377" t="s">
        <v>1893</v>
      </c>
      <c r="D377" t="s">
        <v>16</v>
      </c>
      <c r="F377" s="161" t="s">
        <v>3394</v>
      </c>
      <c r="G377" t="s">
        <v>1346</v>
      </c>
      <c r="H377" s="1" t="s">
        <v>3393</v>
      </c>
      <c r="I377" t="s">
        <v>1214</v>
      </c>
      <c r="L377" t="s">
        <v>612</v>
      </c>
      <c r="M377" t="s">
        <v>613</v>
      </c>
      <c r="N377" t="s">
        <v>618</v>
      </c>
    </row>
    <row r="378" spans="1:15" x14ac:dyDescent="0.25">
      <c r="A378" t="s">
        <v>1895</v>
      </c>
      <c r="B378" t="s">
        <v>1896</v>
      </c>
      <c r="C378" t="s">
        <v>1895</v>
      </c>
      <c r="D378" t="s">
        <v>16</v>
      </c>
      <c r="F378" s="161" t="s">
        <v>3394</v>
      </c>
      <c r="G378" t="s">
        <v>744</v>
      </c>
      <c r="H378" s="1" t="s">
        <v>3393</v>
      </c>
      <c r="I378" t="s">
        <v>1447</v>
      </c>
      <c r="L378" t="s">
        <v>612</v>
      </c>
      <c r="M378" t="s">
        <v>613</v>
      </c>
      <c r="N378" t="s">
        <v>618</v>
      </c>
    </row>
    <row r="379" spans="1:15" x14ac:dyDescent="0.25">
      <c r="A379" t="s">
        <v>488</v>
      </c>
      <c r="B379" t="s">
        <v>1906</v>
      </c>
      <c r="C379" t="s">
        <v>488</v>
      </c>
      <c r="D379" t="s">
        <v>16</v>
      </c>
      <c r="E379" t="s">
        <v>15</v>
      </c>
      <c r="F379" s="161" t="s">
        <v>3394</v>
      </c>
      <c r="G379" t="s">
        <v>744</v>
      </c>
      <c r="H379" s="1" t="s">
        <v>590</v>
      </c>
      <c r="I379" t="s">
        <v>1907</v>
      </c>
      <c r="K379" t="s">
        <v>1908</v>
      </c>
      <c r="L379" t="s">
        <v>612</v>
      </c>
      <c r="M379" t="s">
        <v>613</v>
      </c>
      <c r="N379" t="s">
        <v>618</v>
      </c>
      <c r="O379" s="155">
        <v>45756</v>
      </c>
    </row>
    <row r="380" spans="1:15" x14ac:dyDescent="0.25">
      <c r="A380" t="s">
        <v>1909</v>
      </c>
      <c r="B380" t="s">
        <v>1910</v>
      </c>
      <c r="C380" t="s">
        <v>1909</v>
      </c>
      <c r="D380" t="s">
        <v>16</v>
      </c>
      <c r="F380" s="161" t="s">
        <v>3394</v>
      </c>
      <c r="G380" t="s">
        <v>744</v>
      </c>
      <c r="H380" s="1" t="s">
        <v>3393</v>
      </c>
      <c r="I380" t="s">
        <v>1825</v>
      </c>
      <c r="L380" t="s">
        <v>612</v>
      </c>
      <c r="M380" t="s">
        <v>613</v>
      </c>
      <c r="N380" t="s">
        <v>618</v>
      </c>
    </row>
    <row r="381" spans="1:15" x14ac:dyDescent="0.25">
      <c r="A381" t="s">
        <v>1911</v>
      </c>
      <c r="B381" t="s">
        <v>1912</v>
      </c>
      <c r="C381" t="s">
        <v>1911</v>
      </c>
      <c r="D381" t="s">
        <v>16</v>
      </c>
      <c r="F381" s="161" t="s">
        <v>3394</v>
      </c>
      <c r="G381" t="s">
        <v>744</v>
      </c>
      <c r="H381" s="1" t="s">
        <v>3393</v>
      </c>
      <c r="I381" t="s">
        <v>750</v>
      </c>
      <c r="L381" t="s">
        <v>612</v>
      </c>
      <c r="M381" t="s">
        <v>613</v>
      </c>
      <c r="N381" t="s">
        <v>618</v>
      </c>
    </row>
    <row r="382" spans="1:15" x14ac:dyDescent="0.25">
      <c r="A382" t="s">
        <v>1913</v>
      </c>
      <c r="B382" t="s">
        <v>1914</v>
      </c>
      <c r="C382" t="s">
        <v>1913</v>
      </c>
      <c r="D382" t="s">
        <v>16</v>
      </c>
      <c r="F382" s="161" t="s">
        <v>3394</v>
      </c>
      <c r="G382" t="s">
        <v>744</v>
      </c>
      <c r="H382" s="1" t="s">
        <v>3393</v>
      </c>
      <c r="I382" t="s">
        <v>1915</v>
      </c>
      <c r="K382" t="s">
        <v>1916</v>
      </c>
      <c r="L382" t="s">
        <v>612</v>
      </c>
      <c r="M382" t="s">
        <v>613</v>
      </c>
      <c r="N382" t="s">
        <v>618</v>
      </c>
    </row>
    <row r="383" spans="1:15" x14ac:dyDescent="0.25">
      <c r="A383" t="s">
        <v>1917</v>
      </c>
      <c r="B383" t="s">
        <v>1918</v>
      </c>
      <c r="C383" t="s">
        <v>1917</v>
      </c>
      <c r="D383" t="s">
        <v>16</v>
      </c>
      <c r="F383" s="161" t="s">
        <v>3394</v>
      </c>
      <c r="G383" t="s">
        <v>1919</v>
      </c>
      <c r="H383" s="1" t="s">
        <v>3393</v>
      </c>
      <c r="I383" t="s">
        <v>888</v>
      </c>
      <c r="K383" t="s">
        <v>1920</v>
      </c>
      <c r="L383" t="s">
        <v>612</v>
      </c>
      <c r="M383" t="s">
        <v>613</v>
      </c>
      <c r="N383" t="s">
        <v>655</v>
      </c>
    </row>
    <row r="384" spans="1:15" x14ac:dyDescent="0.25">
      <c r="A384" t="s">
        <v>1921</v>
      </c>
      <c r="B384" t="s">
        <v>1922</v>
      </c>
      <c r="C384" t="s">
        <v>1921</v>
      </c>
      <c r="D384" t="s">
        <v>16</v>
      </c>
      <c r="F384" s="161" t="s">
        <v>3394</v>
      </c>
      <c r="G384" t="s">
        <v>1923</v>
      </c>
      <c r="H384" s="1" t="s">
        <v>3393</v>
      </c>
      <c r="I384" t="s">
        <v>1828</v>
      </c>
      <c r="K384" t="s">
        <v>1924</v>
      </c>
      <c r="L384" t="s">
        <v>612</v>
      </c>
      <c r="M384" t="s">
        <v>613</v>
      </c>
      <c r="N384" t="s">
        <v>618</v>
      </c>
    </row>
    <row r="385" spans="1:15" x14ac:dyDescent="0.25">
      <c r="A385" t="s">
        <v>1928</v>
      </c>
      <c r="B385" t="s">
        <v>1929</v>
      </c>
      <c r="C385" t="s">
        <v>1928</v>
      </c>
      <c r="D385" t="s">
        <v>16</v>
      </c>
      <c r="F385" s="161" t="s">
        <v>3394</v>
      </c>
      <c r="G385" t="s">
        <v>897</v>
      </c>
      <c r="H385" s="1" t="s">
        <v>3393</v>
      </c>
      <c r="I385" t="s">
        <v>1688</v>
      </c>
      <c r="K385" t="s">
        <v>1930</v>
      </c>
      <c r="L385" t="s">
        <v>612</v>
      </c>
      <c r="M385" t="s">
        <v>613</v>
      </c>
      <c r="N385" t="s">
        <v>655</v>
      </c>
    </row>
    <row r="386" spans="1:15" x14ac:dyDescent="0.25">
      <c r="A386" t="s">
        <v>1934</v>
      </c>
      <c r="B386" t="s">
        <v>1935</v>
      </c>
      <c r="C386" t="s">
        <v>1934</v>
      </c>
      <c r="D386" t="s">
        <v>16</v>
      </c>
      <c r="F386" s="161" t="s">
        <v>3394</v>
      </c>
      <c r="G386" t="s">
        <v>744</v>
      </c>
      <c r="H386" s="1" t="s">
        <v>3393</v>
      </c>
      <c r="I386" t="s">
        <v>679</v>
      </c>
      <c r="K386" t="s">
        <v>1936</v>
      </c>
      <c r="L386" t="s">
        <v>612</v>
      </c>
      <c r="M386" t="s">
        <v>613</v>
      </c>
      <c r="N386" t="s">
        <v>618</v>
      </c>
    </row>
    <row r="387" spans="1:15" x14ac:dyDescent="0.25">
      <c r="A387" t="s">
        <v>1942</v>
      </c>
      <c r="B387" t="s">
        <v>1943</v>
      </c>
      <c r="C387" t="s">
        <v>1942</v>
      </c>
      <c r="D387" t="s">
        <v>16</v>
      </c>
      <c r="F387" s="161" t="s">
        <v>3394</v>
      </c>
      <c r="G387" t="s">
        <v>1033</v>
      </c>
      <c r="H387" s="1" t="s">
        <v>3393</v>
      </c>
      <c r="I387" t="s">
        <v>1944</v>
      </c>
      <c r="K387" t="s">
        <v>1945</v>
      </c>
      <c r="L387" t="s">
        <v>612</v>
      </c>
      <c r="M387" t="s">
        <v>613</v>
      </c>
      <c r="N387" t="s">
        <v>655</v>
      </c>
    </row>
    <row r="388" spans="1:15" x14ac:dyDescent="0.25">
      <c r="A388" t="s">
        <v>1946</v>
      </c>
      <c r="B388" t="s">
        <v>1947</v>
      </c>
      <c r="C388" t="s">
        <v>1946</v>
      </c>
      <c r="D388" t="s">
        <v>16</v>
      </c>
      <c r="F388" s="161" t="s">
        <v>3394</v>
      </c>
      <c r="G388" t="s">
        <v>616</v>
      </c>
      <c r="H388" s="1" t="s">
        <v>3393</v>
      </c>
      <c r="I388" t="s">
        <v>1948</v>
      </c>
      <c r="L388" t="s">
        <v>612</v>
      </c>
      <c r="M388" t="s">
        <v>613</v>
      </c>
      <c r="N388" t="s">
        <v>618</v>
      </c>
    </row>
    <row r="389" spans="1:15" x14ac:dyDescent="0.25">
      <c r="A389" t="s">
        <v>1956</v>
      </c>
      <c r="B389" t="s">
        <v>1957</v>
      </c>
      <c r="C389" t="s">
        <v>1956</v>
      </c>
      <c r="D389" t="s">
        <v>16</v>
      </c>
      <c r="F389" s="161" t="s">
        <v>3394</v>
      </c>
      <c r="G389" t="s">
        <v>744</v>
      </c>
      <c r="H389" s="1" t="s">
        <v>3393</v>
      </c>
      <c r="I389" t="s">
        <v>1081</v>
      </c>
      <c r="K389" t="s">
        <v>1958</v>
      </c>
      <c r="L389" t="s">
        <v>612</v>
      </c>
      <c r="M389" t="s">
        <v>613</v>
      </c>
      <c r="N389" t="s">
        <v>618</v>
      </c>
    </row>
    <row r="390" spans="1:15" x14ac:dyDescent="0.25">
      <c r="A390" t="s">
        <v>1959</v>
      </c>
      <c r="B390" t="s">
        <v>1960</v>
      </c>
      <c r="C390" t="s">
        <v>1959</v>
      </c>
      <c r="D390" t="s">
        <v>16</v>
      </c>
      <c r="F390" s="161" t="s">
        <v>3394</v>
      </c>
      <c r="G390" t="s">
        <v>703</v>
      </c>
      <c r="H390" s="1" t="s">
        <v>3393</v>
      </c>
      <c r="I390" t="s">
        <v>721</v>
      </c>
      <c r="L390" t="s">
        <v>612</v>
      </c>
      <c r="M390" t="s">
        <v>613</v>
      </c>
      <c r="N390" t="s">
        <v>618</v>
      </c>
    </row>
    <row r="391" spans="1:15" x14ac:dyDescent="0.25">
      <c r="A391" t="s">
        <v>39</v>
      </c>
      <c r="B391" t="s">
        <v>1963</v>
      </c>
      <c r="C391" t="s">
        <v>39</v>
      </c>
      <c r="D391" t="s">
        <v>16</v>
      </c>
      <c r="E391" t="s">
        <v>19</v>
      </c>
      <c r="F391" s="161" t="s">
        <v>3394</v>
      </c>
      <c r="G391" t="s">
        <v>700</v>
      </c>
      <c r="H391" s="1" t="s">
        <v>594</v>
      </c>
      <c r="I391" t="s">
        <v>1647</v>
      </c>
      <c r="K391" t="s">
        <v>1964</v>
      </c>
      <c r="L391" t="s">
        <v>612</v>
      </c>
      <c r="M391" t="s">
        <v>613</v>
      </c>
      <c r="N391" t="s">
        <v>618</v>
      </c>
      <c r="O391" s="155">
        <v>43263</v>
      </c>
    </row>
    <row r="392" spans="1:15" x14ac:dyDescent="0.25">
      <c r="A392" t="s">
        <v>1965</v>
      </c>
      <c r="B392" t="s">
        <v>1966</v>
      </c>
      <c r="C392" t="s">
        <v>1965</v>
      </c>
      <c r="D392" t="s">
        <v>16</v>
      </c>
      <c r="F392" s="161" t="s">
        <v>3394</v>
      </c>
      <c r="G392" t="s">
        <v>67</v>
      </c>
      <c r="H392" s="1" t="s">
        <v>3393</v>
      </c>
      <c r="I392" t="s">
        <v>1967</v>
      </c>
      <c r="K392" t="s">
        <v>1968</v>
      </c>
      <c r="L392" t="s">
        <v>612</v>
      </c>
      <c r="M392" t="s">
        <v>613</v>
      </c>
      <c r="N392" t="s">
        <v>655</v>
      </c>
    </row>
    <row r="393" spans="1:15" x14ac:dyDescent="0.25">
      <c r="A393" t="s">
        <v>328</v>
      </c>
      <c r="B393" t="s">
        <v>1971</v>
      </c>
      <c r="C393" t="s">
        <v>328</v>
      </c>
      <c r="D393" t="s">
        <v>16</v>
      </c>
      <c r="E393" t="s">
        <v>15</v>
      </c>
      <c r="F393" s="161" t="s">
        <v>3394</v>
      </c>
      <c r="G393" t="s">
        <v>836</v>
      </c>
      <c r="H393" s="1" t="s">
        <v>3393</v>
      </c>
      <c r="I393" t="s">
        <v>1972</v>
      </c>
      <c r="K393" t="s">
        <v>1973</v>
      </c>
      <c r="L393" t="s">
        <v>612</v>
      </c>
      <c r="M393" t="s">
        <v>613</v>
      </c>
      <c r="N393" t="s">
        <v>618</v>
      </c>
      <c r="O393" s="155">
        <v>45819</v>
      </c>
    </row>
    <row r="394" spans="1:15" x14ac:dyDescent="0.25">
      <c r="A394" t="s">
        <v>570</v>
      </c>
      <c r="B394" t="s">
        <v>1974</v>
      </c>
      <c r="C394" t="s">
        <v>570</v>
      </c>
      <c r="D394" t="s">
        <v>16</v>
      </c>
      <c r="E394" t="s">
        <v>15</v>
      </c>
      <c r="F394" s="161" t="s">
        <v>3394</v>
      </c>
      <c r="G394" t="s">
        <v>700</v>
      </c>
      <c r="H394" s="1" t="s">
        <v>587</v>
      </c>
      <c r="I394" t="s">
        <v>1088</v>
      </c>
      <c r="L394" t="s">
        <v>612</v>
      </c>
      <c r="M394" t="s">
        <v>613</v>
      </c>
      <c r="N394" t="s">
        <v>618</v>
      </c>
      <c r="O394" s="155">
        <v>45941</v>
      </c>
    </row>
    <row r="395" spans="1:15" x14ac:dyDescent="0.25">
      <c r="A395" t="s">
        <v>1975</v>
      </c>
      <c r="B395" t="s">
        <v>1976</v>
      </c>
      <c r="C395" t="s">
        <v>1975</v>
      </c>
      <c r="D395" t="s">
        <v>16</v>
      </c>
      <c r="F395" s="161" t="s">
        <v>3394</v>
      </c>
      <c r="G395" t="s">
        <v>768</v>
      </c>
      <c r="H395" s="1" t="s">
        <v>3393</v>
      </c>
      <c r="I395" t="s">
        <v>769</v>
      </c>
      <c r="K395" t="s">
        <v>1977</v>
      </c>
      <c r="L395" t="s">
        <v>612</v>
      </c>
      <c r="M395" t="s">
        <v>613</v>
      </c>
      <c r="N395" t="s">
        <v>655</v>
      </c>
    </row>
    <row r="396" spans="1:15" x14ac:dyDescent="0.25">
      <c r="A396" t="s">
        <v>1986</v>
      </c>
      <c r="B396" t="s">
        <v>1987</v>
      </c>
      <c r="C396" t="s">
        <v>1986</v>
      </c>
      <c r="D396" t="s">
        <v>16</v>
      </c>
      <c r="F396" s="161" t="s">
        <v>3394</v>
      </c>
      <c r="G396" t="s">
        <v>1368</v>
      </c>
      <c r="H396" s="1" t="s">
        <v>3393</v>
      </c>
      <c r="I396" t="s">
        <v>611</v>
      </c>
      <c r="K396" t="s">
        <v>1988</v>
      </c>
      <c r="L396" t="s">
        <v>612</v>
      </c>
      <c r="M396" t="s">
        <v>613</v>
      </c>
      <c r="N396" t="s">
        <v>655</v>
      </c>
    </row>
    <row r="397" spans="1:15" x14ac:dyDescent="0.25">
      <c r="A397" t="s">
        <v>1993</v>
      </c>
      <c r="B397" t="s">
        <v>1994</v>
      </c>
      <c r="C397" t="s">
        <v>1993</v>
      </c>
      <c r="D397" t="s">
        <v>16</v>
      </c>
      <c r="F397" s="161" t="s">
        <v>3394</v>
      </c>
      <c r="G397" t="s">
        <v>616</v>
      </c>
      <c r="H397" s="1" t="s">
        <v>3393</v>
      </c>
      <c r="I397" t="s">
        <v>1995</v>
      </c>
      <c r="K397" t="s">
        <v>1996</v>
      </c>
      <c r="L397" t="s">
        <v>612</v>
      </c>
      <c r="M397" t="s">
        <v>613</v>
      </c>
      <c r="N397" t="s">
        <v>618</v>
      </c>
    </row>
    <row r="398" spans="1:15" x14ac:dyDescent="0.25">
      <c r="A398" t="s">
        <v>73</v>
      </c>
      <c r="B398" t="s">
        <v>2005</v>
      </c>
      <c r="C398" t="s">
        <v>73</v>
      </c>
      <c r="D398" t="s">
        <v>16</v>
      </c>
      <c r="E398" t="s">
        <v>15</v>
      </c>
      <c r="F398" s="161" t="s">
        <v>3394</v>
      </c>
      <c r="G398" t="s">
        <v>716</v>
      </c>
      <c r="H398" s="1" t="s">
        <v>3393</v>
      </c>
      <c r="I398" t="s">
        <v>1447</v>
      </c>
      <c r="L398" t="s">
        <v>612</v>
      </c>
      <c r="M398" t="s">
        <v>613</v>
      </c>
      <c r="N398" t="s">
        <v>655</v>
      </c>
      <c r="O398" s="155" t="s">
        <v>72</v>
      </c>
    </row>
    <row r="399" spans="1:15" x14ac:dyDescent="0.25">
      <c r="A399" t="s">
        <v>2006</v>
      </c>
      <c r="B399" t="s">
        <v>2007</v>
      </c>
      <c r="C399" t="s">
        <v>2006</v>
      </c>
      <c r="D399" t="s">
        <v>16</v>
      </c>
      <c r="F399" s="161" t="s">
        <v>3394</v>
      </c>
      <c r="G399" t="s">
        <v>749</v>
      </c>
      <c r="H399" s="1" t="s">
        <v>3393</v>
      </c>
      <c r="I399" t="s">
        <v>948</v>
      </c>
      <c r="K399" t="s">
        <v>2008</v>
      </c>
      <c r="L399" t="s">
        <v>612</v>
      </c>
      <c r="M399" t="s">
        <v>613</v>
      </c>
      <c r="N399" t="s">
        <v>618</v>
      </c>
    </row>
    <row r="400" spans="1:15" x14ac:dyDescent="0.25">
      <c r="A400" t="s">
        <v>2013</v>
      </c>
      <c r="B400" t="s">
        <v>2014</v>
      </c>
      <c r="C400" t="s">
        <v>2013</v>
      </c>
      <c r="D400" t="s">
        <v>16</v>
      </c>
      <c r="F400" s="161" t="s">
        <v>3394</v>
      </c>
      <c r="G400" t="s">
        <v>2015</v>
      </c>
      <c r="H400" s="1" t="s">
        <v>3393</v>
      </c>
      <c r="I400" t="s">
        <v>2016</v>
      </c>
      <c r="K400" t="s">
        <v>2017</v>
      </c>
      <c r="L400" t="s">
        <v>612</v>
      </c>
      <c r="M400" t="s">
        <v>613</v>
      </c>
      <c r="N400" t="s">
        <v>655</v>
      </c>
    </row>
    <row r="401" spans="1:15" x14ac:dyDescent="0.25">
      <c r="A401" t="s">
        <v>91</v>
      </c>
      <c r="B401" t="s">
        <v>2025</v>
      </c>
      <c r="C401" t="s">
        <v>91</v>
      </c>
      <c r="D401" t="s">
        <v>16</v>
      </c>
      <c r="E401" t="s">
        <v>15</v>
      </c>
      <c r="F401" s="161" t="s">
        <v>3394</v>
      </c>
      <c r="G401" t="s">
        <v>768</v>
      </c>
      <c r="H401" s="1" t="s">
        <v>3393</v>
      </c>
      <c r="I401" t="s">
        <v>769</v>
      </c>
      <c r="K401" t="s">
        <v>2026</v>
      </c>
      <c r="L401" t="s">
        <v>612</v>
      </c>
      <c r="M401" t="s">
        <v>613</v>
      </c>
      <c r="N401" t="s">
        <v>655</v>
      </c>
      <c r="O401" s="155">
        <v>45754</v>
      </c>
    </row>
    <row r="402" spans="1:15" x14ac:dyDescent="0.25">
      <c r="A402" t="s">
        <v>2027</v>
      </c>
      <c r="B402" t="s">
        <v>2028</v>
      </c>
      <c r="C402" t="s">
        <v>2027</v>
      </c>
      <c r="D402" t="s">
        <v>16</v>
      </c>
      <c r="F402" s="161" t="s">
        <v>3394</v>
      </c>
      <c r="G402" t="s">
        <v>621</v>
      </c>
      <c r="H402" s="1" t="s">
        <v>3393</v>
      </c>
      <c r="I402" t="s">
        <v>2029</v>
      </c>
      <c r="K402" t="s">
        <v>2030</v>
      </c>
      <c r="L402" t="s">
        <v>612</v>
      </c>
      <c r="M402" t="s">
        <v>613</v>
      </c>
      <c r="N402" t="s">
        <v>618</v>
      </c>
    </row>
    <row r="403" spans="1:15" x14ac:dyDescent="0.25">
      <c r="A403" t="s">
        <v>428</v>
      </c>
      <c r="B403" t="s">
        <v>2031</v>
      </c>
      <c r="C403" t="s">
        <v>428</v>
      </c>
      <c r="D403" t="s">
        <v>16</v>
      </c>
      <c r="E403" t="s">
        <v>19</v>
      </c>
      <c r="F403" s="161" t="s">
        <v>3394</v>
      </c>
      <c r="G403" t="s">
        <v>700</v>
      </c>
      <c r="H403" s="1" t="s">
        <v>587</v>
      </c>
      <c r="I403" t="s">
        <v>2032</v>
      </c>
      <c r="K403" t="s">
        <v>2033</v>
      </c>
      <c r="L403" t="s">
        <v>612</v>
      </c>
      <c r="M403" t="s">
        <v>613</v>
      </c>
      <c r="N403" t="s">
        <v>618</v>
      </c>
      <c r="O403" s="155">
        <v>45151</v>
      </c>
    </row>
    <row r="404" spans="1:15" x14ac:dyDescent="0.25">
      <c r="A404" t="s">
        <v>2034</v>
      </c>
      <c r="B404" t="s">
        <v>2035</v>
      </c>
      <c r="C404" t="s">
        <v>2034</v>
      </c>
      <c r="D404" t="s">
        <v>16</v>
      </c>
      <c r="F404" s="161" t="s">
        <v>3394</v>
      </c>
      <c r="G404" t="s">
        <v>1346</v>
      </c>
      <c r="H404" s="1" t="s">
        <v>3393</v>
      </c>
      <c r="I404" t="s">
        <v>1214</v>
      </c>
      <c r="L404" t="s">
        <v>612</v>
      </c>
      <c r="M404" t="s">
        <v>613</v>
      </c>
      <c r="N404" t="s">
        <v>618</v>
      </c>
    </row>
    <row r="405" spans="1:15" x14ac:dyDescent="0.25">
      <c r="A405" t="s">
        <v>2036</v>
      </c>
      <c r="B405" t="s">
        <v>2037</v>
      </c>
      <c r="C405" t="s">
        <v>2036</v>
      </c>
      <c r="D405" t="s">
        <v>16</v>
      </c>
      <c r="F405" s="161" t="s">
        <v>3394</v>
      </c>
      <c r="G405" t="s">
        <v>67</v>
      </c>
      <c r="H405" s="1" t="s">
        <v>3393</v>
      </c>
      <c r="I405" t="s">
        <v>2038</v>
      </c>
      <c r="K405" t="s">
        <v>2039</v>
      </c>
      <c r="L405" t="s">
        <v>612</v>
      </c>
      <c r="M405" t="s">
        <v>613</v>
      </c>
      <c r="N405" t="s">
        <v>655</v>
      </c>
    </row>
    <row r="406" spans="1:15" x14ac:dyDescent="0.25">
      <c r="A406" t="s">
        <v>2044</v>
      </c>
      <c r="B406" t="s">
        <v>2045</v>
      </c>
      <c r="C406" t="s">
        <v>2044</v>
      </c>
      <c r="D406" t="s">
        <v>16</v>
      </c>
      <c r="F406" s="161" t="s">
        <v>3394</v>
      </c>
      <c r="G406" t="s">
        <v>2046</v>
      </c>
      <c r="H406" s="1" t="s">
        <v>3393</v>
      </c>
      <c r="I406" t="s">
        <v>2047</v>
      </c>
      <c r="K406" t="s">
        <v>2048</v>
      </c>
      <c r="L406" t="s">
        <v>612</v>
      </c>
      <c r="M406" t="s">
        <v>613</v>
      </c>
      <c r="N406" t="s">
        <v>655</v>
      </c>
    </row>
    <row r="407" spans="1:15" x14ac:dyDescent="0.25">
      <c r="A407" t="s">
        <v>2052</v>
      </c>
      <c r="B407" t="s">
        <v>2053</v>
      </c>
      <c r="C407" t="s">
        <v>2052</v>
      </c>
      <c r="D407" t="s">
        <v>16</v>
      </c>
      <c r="F407" s="161" t="s">
        <v>3394</v>
      </c>
      <c r="G407" t="s">
        <v>168</v>
      </c>
      <c r="H407" s="1" t="s">
        <v>3393</v>
      </c>
      <c r="I407" t="s">
        <v>2054</v>
      </c>
      <c r="K407" t="s">
        <v>2055</v>
      </c>
      <c r="L407" t="s">
        <v>612</v>
      </c>
      <c r="M407" t="s">
        <v>613</v>
      </c>
      <c r="N407" t="s">
        <v>655</v>
      </c>
    </row>
    <row r="408" spans="1:15" x14ac:dyDescent="0.25">
      <c r="A408" t="s">
        <v>2056</v>
      </c>
      <c r="B408" t="s">
        <v>2057</v>
      </c>
      <c r="C408" t="s">
        <v>2056</v>
      </c>
      <c r="D408" t="s">
        <v>16</v>
      </c>
      <c r="F408" s="161" t="s">
        <v>3394</v>
      </c>
      <c r="G408" t="s">
        <v>67</v>
      </c>
      <c r="H408" s="1" t="s">
        <v>3393</v>
      </c>
      <c r="I408" t="s">
        <v>2058</v>
      </c>
      <c r="K408" t="s">
        <v>2059</v>
      </c>
      <c r="L408" t="s">
        <v>612</v>
      </c>
      <c r="M408" t="s">
        <v>613</v>
      </c>
      <c r="N408" t="s">
        <v>655</v>
      </c>
    </row>
    <row r="409" spans="1:15" x14ac:dyDescent="0.25">
      <c r="A409" t="s">
        <v>2060</v>
      </c>
      <c r="B409" t="s">
        <v>2061</v>
      </c>
      <c r="C409" t="s">
        <v>2060</v>
      </c>
      <c r="D409" t="s">
        <v>16</v>
      </c>
      <c r="F409" s="161" t="s">
        <v>3394</v>
      </c>
      <c r="G409" t="s">
        <v>102</v>
      </c>
      <c r="H409" s="1" t="s">
        <v>3393</v>
      </c>
      <c r="I409" t="s">
        <v>1020</v>
      </c>
      <c r="L409" t="s">
        <v>612</v>
      </c>
      <c r="M409" t="s">
        <v>613</v>
      </c>
      <c r="N409" t="s">
        <v>655</v>
      </c>
    </row>
    <row r="410" spans="1:15" x14ac:dyDescent="0.25">
      <c r="A410" t="s">
        <v>2062</v>
      </c>
      <c r="B410" t="s">
        <v>2063</v>
      </c>
      <c r="C410" t="s">
        <v>2062</v>
      </c>
      <c r="D410" t="s">
        <v>16</v>
      </c>
      <c r="F410" s="161" t="s">
        <v>3394</v>
      </c>
      <c r="G410" t="s">
        <v>744</v>
      </c>
      <c r="H410" s="1" t="s">
        <v>3393</v>
      </c>
      <c r="I410" t="s">
        <v>1703</v>
      </c>
      <c r="K410" t="s">
        <v>2064</v>
      </c>
      <c r="L410" t="s">
        <v>612</v>
      </c>
      <c r="M410" t="s">
        <v>613</v>
      </c>
      <c r="N410" t="s">
        <v>618</v>
      </c>
    </row>
    <row r="411" spans="1:15" x14ac:dyDescent="0.25">
      <c r="A411" t="s">
        <v>2086</v>
      </c>
      <c r="B411" t="s">
        <v>2087</v>
      </c>
      <c r="C411" t="s">
        <v>2086</v>
      </c>
      <c r="D411" t="s">
        <v>16</v>
      </c>
      <c r="F411" s="161" t="s">
        <v>3394</v>
      </c>
      <c r="G411" t="s">
        <v>1136</v>
      </c>
      <c r="H411" s="1" t="s">
        <v>3393</v>
      </c>
      <c r="I411" t="s">
        <v>2088</v>
      </c>
      <c r="K411" t="s">
        <v>2089</v>
      </c>
      <c r="L411" t="s">
        <v>612</v>
      </c>
      <c r="M411" t="s">
        <v>613</v>
      </c>
      <c r="N411" t="s">
        <v>618</v>
      </c>
    </row>
    <row r="412" spans="1:15" x14ac:dyDescent="0.25">
      <c r="A412" t="s">
        <v>2090</v>
      </c>
      <c r="B412" t="s">
        <v>2091</v>
      </c>
      <c r="C412" t="s">
        <v>2090</v>
      </c>
      <c r="D412" t="s">
        <v>16</v>
      </c>
      <c r="F412" s="161" t="s">
        <v>3394</v>
      </c>
      <c r="G412" t="s">
        <v>768</v>
      </c>
      <c r="H412" s="1" t="s">
        <v>3393</v>
      </c>
      <c r="I412" t="s">
        <v>769</v>
      </c>
      <c r="K412" t="s">
        <v>2092</v>
      </c>
      <c r="L412" t="s">
        <v>612</v>
      </c>
      <c r="M412" t="s">
        <v>613</v>
      </c>
      <c r="N412" t="s">
        <v>655</v>
      </c>
    </row>
    <row r="413" spans="1:15" x14ac:dyDescent="0.25">
      <c r="A413" t="s">
        <v>519</v>
      </c>
      <c r="B413" t="s">
        <v>2093</v>
      </c>
      <c r="C413" t="s">
        <v>519</v>
      </c>
      <c r="D413" t="s">
        <v>16</v>
      </c>
      <c r="E413" t="s">
        <v>15</v>
      </c>
      <c r="F413" s="161" t="s">
        <v>3394</v>
      </c>
      <c r="G413" t="s">
        <v>640</v>
      </c>
      <c r="H413" s="1" t="s">
        <v>111</v>
      </c>
      <c r="I413" t="s">
        <v>2094</v>
      </c>
      <c r="K413" t="s">
        <v>2095</v>
      </c>
      <c r="L413" t="s">
        <v>612</v>
      </c>
      <c r="M413" t="s">
        <v>613</v>
      </c>
      <c r="N413" t="s">
        <v>618</v>
      </c>
      <c r="O413" s="155">
        <v>45561</v>
      </c>
    </row>
    <row r="414" spans="1:15" x14ac:dyDescent="0.25">
      <c r="A414" t="s">
        <v>137</v>
      </c>
      <c r="B414" t="s">
        <v>2096</v>
      </c>
      <c r="C414" t="s">
        <v>137</v>
      </c>
      <c r="D414" t="s">
        <v>16</v>
      </c>
      <c r="E414" t="s">
        <v>15</v>
      </c>
      <c r="F414" s="161" t="s">
        <v>3394</v>
      </c>
      <c r="G414" t="s">
        <v>653</v>
      </c>
      <c r="H414" s="1" t="s">
        <v>3393</v>
      </c>
      <c r="I414" t="s">
        <v>1088</v>
      </c>
      <c r="L414" t="s">
        <v>612</v>
      </c>
      <c r="M414" t="s">
        <v>613</v>
      </c>
      <c r="N414" t="s">
        <v>655</v>
      </c>
      <c r="O414" s="155">
        <v>45941</v>
      </c>
    </row>
    <row r="415" spans="1:15" x14ac:dyDescent="0.25">
      <c r="A415" t="s">
        <v>2101</v>
      </c>
      <c r="B415" t="s">
        <v>2102</v>
      </c>
      <c r="C415" t="s">
        <v>2101</v>
      </c>
      <c r="D415" t="s">
        <v>16</v>
      </c>
      <c r="F415" s="161" t="s">
        <v>3394</v>
      </c>
      <c r="G415" t="s">
        <v>616</v>
      </c>
      <c r="H415" s="1" t="s">
        <v>3393</v>
      </c>
      <c r="I415" t="s">
        <v>2103</v>
      </c>
      <c r="K415" t="s">
        <v>2104</v>
      </c>
      <c r="L415" t="s">
        <v>612</v>
      </c>
      <c r="M415" t="s">
        <v>613</v>
      </c>
      <c r="N415" t="s">
        <v>618</v>
      </c>
    </row>
    <row r="416" spans="1:15" x14ac:dyDescent="0.25">
      <c r="A416" t="s">
        <v>167</v>
      </c>
      <c r="B416" t="s">
        <v>2105</v>
      </c>
      <c r="C416" t="s">
        <v>167</v>
      </c>
      <c r="D416" t="s">
        <v>16</v>
      </c>
      <c r="E416" t="s">
        <v>15</v>
      </c>
      <c r="F416" s="161" t="s">
        <v>3394</v>
      </c>
      <c r="G416" t="s">
        <v>168</v>
      </c>
      <c r="H416" s="1" t="s">
        <v>3393</v>
      </c>
      <c r="I416" t="s">
        <v>2106</v>
      </c>
      <c r="K416" t="s">
        <v>2107</v>
      </c>
      <c r="L416" t="s">
        <v>612</v>
      </c>
      <c r="M416" t="s">
        <v>613</v>
      </c>
      <c r="N416" t="s">
        <v>655</v>
      </c>
      <c r="O416" s="155" t="s">
        <v>169</v>
      </c>
    </row>
    <row r="417" spans="1:15" x14ac:dyDescent="0.25">
      <c r="A417" t="s">
        <v>2115</v>
      </c>
      <c r="B417" t="s">
        <v>2116</v>
      </c>
      <c r="C417" t="s">
        <v>2115</v>
      </c>
      <c r="D417" t="s">
        <v>16</v>
      </c>
      <c r="F417" s="161" t="s">
        <v>3394</v>
      </c>
      <c r="G417" t="s">
        <v>749</v>
      </c>
      <c r="H417" s="1" t="s">
        <v>3393</v>
      </c>
      <c r="I417" t="s">
        <v>753</v>
      </c>
      <c r="K417" t="s">
        <v>2117</v>
      </c>
      <c r="L417" t="s">
        <v>612</v>
      </c>
      <c r="M417" t="s">
        <v>613</v>
      </c>
      <c r="N417" t="s">
        <v>618</v>
      </c>
    </row>
    <row r="418" spans="1:15" x14ac:dyDescent="0.25">
      <c r="A418" t="s">
        <v>2118</v>
      </c>
      <c r="B418" t="s">
        <v>2119</v>
      </c>
      <c r="C418" t="s">
        <v>2118</v>
      </c>
      <c r="D418" t="s">
        <v>16</v>
      </c>
      <c r="F418" s="161" t="s">
        <v>3394</v>
      </c>
      <c r="G418" t="s">
        <v>168</v>
      </c>
      <c r="H418" s="1" t="s">
        <v>3393</v>
      </c>
      <c r="I418" t="s">
        <v>2120</v>
      </c>
      <c r="K418" t="s">
        <v>2121</v>
      </c>
      <c r="L418" t="s">
        <v>612</v>
      </c>
      <c r="M418" t="s">
        <v>613</v>
      </c>
      <c r="N418" t="s">
        <v>655</v>
      </c>
    </row>
    <row r="419" spans="1:15" x14ac:dyDescent="0.25">
      <c r="A419" t="s">
        <v>2122</v>
      </c>
      <c r="B419" t="s">
        <v>2123</v>
      </c>
      <c r="C419" t="s">
        <v>2122</v>
      </c>
      <c r="D419" t="s">
        <v>16</v>
      </c>
      <c r="F419" s="161" t="s">
        <v>3394</v>
      </c>
      <c r="G419" t="s">
        <v>876</v>
      </c>
      <c r="H419" s="1" t="s">
        <v>3393</v>
      </c>
      <c r="I419" t="s">
        <v>2124</v>
      </c>
      <c r="K419" t="s">
        <v>2125</v>
      </c>
      <c r="L419" t="s">
        <v>612</v>
      </c>
      <c r="M419" t="s">
        <v>613</v>
      </c>
      <c r="N419" t="s">
        <v>618</v>
      </c>
    </row>
    <row r="420" spans="1:15" x14ac:dyDescent="0.25">
      <c r="A420" t="s">
        <v>2134</v>
      </c>
      <c r="B420" t="s">
        <v>2135</v>
      </c>
      <c r="C420" t="s">
        <v>2134</v>
      </c>
      <c r="D420" t="s">
        <v>16</v>
      </c>
      <c r="F420" s="161" t="s">
        <v>3394</v>
      </c>
      <c r="G420" t="s">
        <v>752</v>
      </c>
      <c r="H420" s="1" t="s">
        <v>3393</v>
      </c>
      <c r="I420" t="s">
        <v>2136</v>
      </c>
      <c r="L420" t="s">
        <v>612</v>
      </c>
      <c r="M420" t="s">
        <v>613</v>
      </c>
      <c r="N420" t="s">
        <v>618</v>
      </c>
    </row>
    <row r="421" spans="1:15" x14ac:dyDescent="0.25">
      <c r="A421" t="s">
        <v>2137</v>
      </c>
      <c r="B421" t="s">
        <v>2138</v>
      </c>
      <c r="C421" t="s">
        <v>2137</v>
      </c>
      <c r="D421" t="s">
        <v>16</v>
      </c>
      <c r="F421" s="161" t="s">
        <v>3394</v>
      </c>
      <c r="G421" t="s">
        <v>67</v>
      </c>
      <c r="H421" s="1" t="s">
        <v>3393</v>
      </c>
      <c r="I421" t="s">
        <v>2139</v>
      </c>
      <c r="K421" t="s">
        <v>2140</v>
      </c>
      <c r="L421" t="s">
        <v>612</v>
      </c>
      <c r="M421" t="s">
        <v>613</v>
      </c>
      <c r="N421" t="s">
        <v>618</v>
      </c>
    </row>
    <row r="422" spans="1:15" x14ac:dyDescent="0.25">
      <c r="A422" t="s">
        <v>2141</v>
      </c>
      <c r="B422" t="s">
        <v>2142</v>
      </c>
      <c r="C422" t="s">
        <v>2141</v>
      </c>
      <c r="D422" t="s">
        <v>16</v>
      </c>
      <c r="F422" s="161" t="s">
        <v>3394</v>
      </c>
      <c r="G422" t="s">
        <v>1753</v>
      </c>
      <c r="H422" s="1" t="s">
        <v>3393</v>
      </c>
      <c r="I422" t="s">
        <v>2143</v>
      </c>
      <c r="K422" t="s">
        <v>2144</v>
      </c>
      <c r="L422" t="s">
        <v>612</v>
      </c>
      <c r="M422" t="s">
        <v>613</v>
      </c>
      <c r="N422" t="s">
        <v>655</v>
      </c>
    </row>
    <row r="423" spans="1:15" x14ac:dyDescent="0.25">
      <c r="A423" t="s">
        <v>2145</v>
      </c>
      <c r="B423" t="s">
        <v>2146</v>
      </c>
      <c r="C423" t="s">
        <v>2145</v>
      </c>
      <c r="D423" t="s">
        <v>16</v>
      </c>
      <c r="F423" s="161" t="s">
        <v>3394</v>
      </c>
      <c r="G423" t="s">
        <v>1190</v>
      </c>
      <c r="H423" s="1" t="s">
        <v>3393</v>
      </c>
      <c r="I423" t="s">
        <v>2147</v>
      </c>
      <c r="K423" t="s">
        <v>2148</v>
      </c>
      <c r="L423" t="s">
        <v>612</v>
      </c>
      <c r="M423" t="s">
        <v>613</v>
      </c>
      <c r="N423" t="s">
        <v>618</v>
      </c>
    </row>
    <row r="424" spans="1:15" x14ac:dyDescent="0.25">
      <c r="A424" t="s">
        <v>2149</v>
      </c>
      <c r="B424" t="s">
        <v>2150</v>
      </c>
      <c r="C424" t="s">
        <v>2149</v>
      </c>
      <c r="D424" t="s">
        <v>16</v>
      </c>
      <c r="F424" s="161" t="s">
        <v>3394</v>
      </c>
      <c r="G424" t="s">
        <v>102</v>
      </c>
      <c r="H424" s="1" t="s">
        <v>3393</v>
      </c>
      <c r="I424" t="s">
        <v>2151</v>
      </c>
      <c r="K424" t="s">
        <v>2152</v>
      </c>
      <c r="L424" t="s">
        <v>612</v>
      </c>
      <c r="M424" t="s">
        <v>613</v>
      </c>
      <c r="N424" t="s">
        <v>655</v>
      </c>
    </row>
    <row r="425" spans="1:15" x14ac:dyDescent="0.25">
      <c r="A425" t="s">
        <v>2153</v>
      </c>
      <c r="B425" t="s">
        <v>2154</v>
      </c>
      <c r="C425" t="s">
        <v>2153</v>
      </c>
      <c r="D425" t="s">
        <v>16</v>
      </c>
      <c r="F425" s="161" t="s">
        <v>3394</v>
      </c>
      <c r="G425" t="s">
        <v>168</v>
      </c>
      <c r="H425" s="1" t="s">
        <v>3393</v>
      </c>
      <c r="I425" t="s">
        <v>2155</v>
      </c>
      <c r="K425" t="s">
        <v>2156</v>
      </c>
      <c r="L425" t="s">
        <v>612</v>
      </c>
      <c r="M425" t="s">
        <v>613</v>
      </c>
      <c r="N425" t="s">
        <v>655</v>
      </c>
    </row>
    <row r="426" spans="1:15" x14ac:dyDescent="0.25">
      <c r="A426" t="s">
        <v>41</v>
      </c>
      <c r="B426" t="s">
        <v>2161</v>
      </c>
      <c r="C426" t="s">
        <v>41</v>
      </c>
      <c r="D426" t="s">
        <v>16</v>
      </c>
      <c r="E426" t="s">
        <v>15</v>
      </c>
      <c r="F426" s="161" t="s">
        <v>3394</v>
      </c>
      <c r="G426" t="s">
        <v>840</v>
      </c>
      <c r="H426" s="1" t="s">
        <v>594</v>
      </c>
      <c r="I426" t="s">
        <v>823</v>
      </c>
      <c r="K426" t="s">
        <v>2162</v>
      </c>
      <c r="L426" t="s">
        <v>612</v>
      </c>
      <c r="M426" t="s">
        <v>613</v>
      </c>
      <c r="N426" t="s">
        <v>618</v>
      </c>
      <c r="O426" s="155">
        <v>43260</v>
      </c>
    </row>
    <row r="427" spans="1:15" x14ac:dyDescent="0.25">
      <c r="A427" t="s">
        <v>2163</v>
      </c>
      <c r="B427" t="s">
        <v>2164</v>
      </c>
      <c r="C427" t="s">
        <v>2163</v>
      </c>
      <c r="D427" t="s">
        <v>16</v>
      </c>
      <c r="F427" s="161" t="s">
        <v>3394</v>
      </c>
      <c r="G427" t="s">
        <v>640</v>
      </c>
      <c r="H427" s="1" t="s">
        <v>3393</v>
      </c>
      <c r="I427" t="s">
        <v>2165</v>
      </c>
      <c r="L427" t="s">
        <v>612</v>
      </c>
      <c r="M427" t="s">
        <v>613</v>
      </c>
      <c r="N427" t="s">
        <v>618</v>
      </c>
    </row>
    <row r="428" spans="1:15" x14ac:dyDescent="0.25">
      <c r="A428" t="s">
        <v>528</v>
      </c>
      <c r="B428" t="s">
        <v>2166</v>
      </c>
      <c r="C428" t="s">
        <v>528</v>
      </c>
      <c r="D428" t="s">
        <v>16</v>
      </c>
      <c r="E428" t="s">
        <v>15</v>
      </c>
      <c r="F428" s="161" t="s">
        <v>3394</v>
      </c>
      <c r="G428" t="s">
        <v>616</v>
      </c>
      <c r="H428" s="1" t="s">
        <v>593</v>
      </c>
      <c r="I428" t="s">
        <v>2167</v>
      </c>
      <c r="K428" t="s">
        <v>2168</v>
      </c>
      <c r="L428" t="s">
        <v>612</v>
      </c>
      <c r="M428" t="s">
        <v>613</v>
      </c>
      <c r="N428" t="s">
        <v>618</v>
      </c>
      <c r="O428" s="155">
        <v>45151</v>
      </c>
    </row>
    <row r="429" spans="1:15" x14ac:dyDescent="0.25">
      <c r="A429" t="s">
        <v>2169</v>
      </c>
      <c r="B429" t="s">
        <v>2170</v>
      </c>
      <c r="C429" t="s">
        <v>2169</v>
      </c>
      <c r="D429" t="s">
        <v>16</v>
      </c>
      <c r="F429" s="161" t="s">
        <v>3394</v>
      </c>
      <c r="G429" t="s">
        <v>616</v>
      </c>
      <c r="H429" s="1" t="s">
        <v>3393</v>
      </c>
      <c r="I429" t="s">
        <v>2171</v>
      </c>
      <c r="L429" t="s">
        <v>612</v>
      </c>
      <c r="M429" t="s">
        <v>613</v>
      </c>
      <c r="N429" t="s">
        <v>618</v>
      </c>
    </row>
    <row r="430" spans="1:15" x14ac:dyDescent="0.25">
      <c r="A430" t="s">
        <v>2172</v>
      </c>
      <c r="B430" t="s">
        <v>2173</v>
      </c>
      <c r="C430" t="s">
        <v>2172</v>
      </c>
      <c r="D430" t="s">
        <v>16</v>
      </c>
      <c r="F430" s="161" t="s">
        <v>3394</v>
      </c>
      <c r="G430" t="s">
        <v>616</v>
      </c>
      <c r="H430" s="1" t="s">
        <v>3393</v>
      </c>
      <c r="I430" t="s">
        <v>2171</v>
      </c>
      <c r="L430" t="s">
        <v>612</v>
      </c>
      <c r="M430" t="s">
        <v>613</v>
      </c>
      <c r="N430" t="s">
        <v>618</v>
      </c>
    </row>
    <row r="431" spans="1:15" x14ac:dyDescent="0.25">
      <c r="A431" t="s">
        <v>506</v>
      </c>
      <c r="B431" t="s">
        <v>2174</v>
      </c>
      <c r="C431" t="s">
        <v>506</v>
      </c>
      <c r="D431" t="s">
        <v>16</v>
      </c>
      <c r="E431" t="s">
        <v>15</v>
      </c>
      <c r="F431" s="161" t="s">
        <v>3394</v>
      </c>
      <c r="G431" t="s">
        <v>616</v>
      </c>
      <c r="H431" s="1" t="s">
        <v>593</v>
      </c>
      <c r="I431" t="s">
        <v>2175</v>
      </c>
      <c r="K431" t="s">
        <v>2176</v>
      </c>
      <c r="L431" t="s">
        <v>612</v>
      </c>
      <c r="M431" t="s">
        <v>613</v>
      </c>
      <c r="N431" t="s">
        <v>618</v>
      </c>
      <c r="O431" s="155">
        <v>45429</v>
      </c>
    </row>
    <row r="432" spans="1:15" x14ac:dyDescent="0.25">
      <c r="A432" t="s">
        <v>2177</v>
      </c>
      <c r="B432" t="s">
        <v>2178</v>
      </c>
      <c r="C432" t="s">
        <v>2177</v>
      </c>
      <c r="D432" t="s">
        <v>16</v>
      </c>
      <c r="F432" s="161" t="s">
        <v>3394</v>
      </c>
      <c r="G432" t="s">
        <v>700</v>
      </c>
      <c r="H432" s="1" t="s">
        <v>3393</v>
      </c>
      <c r="I432" t="s">
        <v>1130</v>
      </c>
      <c r="L432" t="s">
        <v>612</v>
      </c>
      <c r="M432" t="s">
        <v>613</v>
      </c>
      <c r="N432" t="s">
        <v>618</v>
      </c>
    </row>
    <row r="433" spans="1:15" x14ac:dyDescent="0.25">
      <c r="A433" t="s">
        <v>2185</v>
      </c>
      <c r="B433" t="s">
        <v>2186</v>
      </c>
      <c r="C433" t="s">
        <v>2185</v>
      </c>
      <c r="D433" t="s">
        <v>16</v>
      </c>
      <c r="F433" s="161" t="s">
        <v>3394</v>
      </c>
      <c r="G433" t="s">
        <v>752</v>
      </c>
      <c r="H433" s="1" t="s">
        <v>3393</v>
      </c>
      <c r="I433" t="s">
        <v>958</v>
      </c>
      <c r="K433" t="s">
        <v>2187</v>
      </c>
      <c r="L433" t="s">
        <v>612</v>
      </c>
      <c r="M433" t="s">
        <v>613</v>
      </c>
      <c r="N433" t="s">
        <v>618</v>
      </c>
    </row>
    <row r="434" spans="1:15" x14ac:dyDescent="0.25">
      <c r="A434" t="s">
        <v>2188</v>
      </c>
      <c r="B434" t="s">
        <v>2189</v>
      </c>
      <c r="C434" t="s">
        <v>2188</v>
      </c>
      <c r="D434" t="s">
        <v>16</v>
      </c>
      <c r="F434" s="161" t="s">
        <v>3394</v>
      </c>
      <c r="G434" t="s">
        <v>749</v>
      </c>
      <c r="H434" s="1" t="s">
        <v>3393</v>
      </c>
      <c r="I434" t="s">
        <v>2190</v>
      </c>
      <c r="K434" t="s">
        <v>2191</v>
      </c>
      <c r="L434" t="s">
        <v>612</v>
      </c>
      <c r="M434" t="s">
        <v>613</v>
      </c>
      <c r="N434" t="s">
        <v>618</v>
      </c>
    </row>
    <row r="435" spans="1:15" x14ac:dyDescent="0.25">
      <c r="A435" t="s">
        <v>2192</v>
      </c>
      <c r="B435" t="s">
        <v>2193</v>
      </c>
      <c r="C435" t="s">
        <v>2192</v>
      </c>
      <c r="D435" t="s">
        <v>16</v>
      </c>
      <c r="F435" s="161" t="s">
        <v>3394</v>
      </c>
      <c r="G435" t="s">
        <v>102</v>
      </c>
      <c r="H435" s="1" t="s">
        <v>3393</v>
      </c>
      <c r="I435" t="s">
        <v>2194</v>
      </c>
      <c r="K435" t="s">
        <v>2195</v>
      </c>
      <c r="L435" t="s">
        <v>612</v>
      </c>
      <c r="M435" t="s">
        <v>613</v>
      </c>
      <c r="N435" t="s">
        <v>655</v>
      </c>
    </row>
    <row r="436" spans="1:15" x14ac:dyDescent="0.25">
      <c r="A436" t="s">
        <v>2196</v>
      </c>
      <c r="B436" t="s">
        <v>2197</v>
      </c>
      <c r="C436" t="s">
        <v>2196</v>
      </c>
      <c r="D436" t="s">
        <v>16</v>
      </c>
      <c r="F436" s="161" t="s">
        <v>3394</v>
      </c>
      <c r="G436" t="s">
        <v>2198</v>
      </c>
      <c r="H436" s="1" t="s">
        <v>3393</v>
      </c>
      <c r="I436" t="s">
        <v>2199</v>
      </c>
      <c r="L436" t="s">
        <v>612</v>
      </c>
      <c r="M436" t="s">
        <v>613</v>
      </c>
      <c r="N436" t="s">
        <v>655</v>
      </c>
    </row>
    <row r="437" spans="1:15" x14ac:dyDescent="0.25">
      <c r="A437" t="s">
        <v>352</v>
      </c>
      <c r="B437" t="s">
        <v>2204</v>
      </c>
      <c r="C437" t="s">
        <v>352</v>
      </c>
      <c r="D437" t="s">
        <v>16</v>
      </c>
      <c r="E437" t="s">
        <v>15</v>
      </c>
      <c r="F437" s="161" t="s">
        <v>3394</v>
      </c>
      <c r="G437" t="s">
        <v>768</v>
      </c>
      <c r="H437" s="1" t="s">
        <v>3393</v>
      </c>
      <c r="I437" t="s">
        <v>769</v>
      </c>
      <c r="K437" t="s">
        <v>2205</v>
      </c>
      <c r="L437" t="s">
        <v>612</v>
      </c>
      <c r="M437" t="s">
        <v>613</v>
      </c>
      <c r="N437" t="s">
        <v>655</v>
      </c>
      <c r="O437" s="155">
        <v>44648</v>
      </c>
    </row>
    <row r="438" spans="1:15" x14ac:dyDescent="0.25">
      <c r="A438" t="s">
        <v>2206</v>
      </c>
      <c r="B438" t="s">
        <v>2207</v>
      </c>
      <c r="C438" t="s">
        <v>2206</v>
      </c>
      <c r="D438" t="s">
        <v>16</v>
      </c>
      <c r="F438" s="161" t="s">
        <v>3394</v>
      </c>
      <c r="G438" t="s">
        <v>749</v>
      </c>
      <c r="H438" s="1" t="s">
        <v>3393</v>
      </c>
      <c r="I438" t="s">
        <v>2208</v>
      </c>
      <c r="L438" t="s">
        <v>612</v>
      </c>
      <c r="M438" t="s">
        <v>613</v>
      </c>
      <c r="N438" t="s">
        <v>618</v>
      </c>
    </row>
    <row r="439" spans="1:15" x14ac:dyDescent="0.25">
      <c r="A439" t="s">
        <v>2214</v>
      </c>
      <c r="B439" t="s">
        <v>2215</v>
      </c>
      <c r="C439" t="s">
        <v>2214</v>
      </c>
      <c r="D439" t="s">
        <v>16</v>
      </c>
      <c r="F439" s="161" t="s">
        <v>3394</v>
      </c>
      <c r="G439" t="s">
        <v>67</v>
      </c>
      <c r="H439" s="1" t="s">
        <v>3393</v>
      </c>
      <c r="I439" t="s">
        <v>1620</v>
      </c>
      <c r="K439" t="s">
        <v>2216</v>
      </c>
      <c r="L439" t="s">
        <v>612</v>
      </c>
      <c r="M439" t="s">
        <v>613</v>
      </c>
      <c r="N439" t="s">
        <v>655</v>
      </c>
    </row>
    <row r="440" spans="1:15" x14ac:dyDescent="0.25">
      <c r="A440" t="s">
        <v>2217</v>
      </c>
      <c r="B440" t="s">
        <v>2218</v>
      </c>
      <c r="C440" t="s">
        <v>2217</v>
      </c>
      <c r="D440" t="s">
        <v>16</v>
      </c>
      <c r="F440" s="161" t="s">
        <v>3394</v>
      </c>
      <c r="G440" t="s">
        <v>640</v>
      </c>
      <c r="H440" s="1" t="s">
        <v>3393</v>
      </c>
      <c r="I440" t="s">
        <v>2219</v>
      </c>
      <c r="K440" t="s">
        <v>2220</v>
      </c>
      <c r="L440" t="s">
        <v>612</v>
      </c>
      <c r="M440" t="s">
        <v>613</v>
      </c>
      <c r="N440" t="s">
        <v>618</v>
      </c>
    </row>
    <row r="441" spans="1:15" x14ac:dyDescent="0.25">
      <c r="A441" t="s">
        <v>572</v>
      </c>
      <c r="B441" t="s">
        <v>2224</v>
      </c>
      <c r="C441" t="s">
        <v>572</v>
      </c>
      <c r="D441" t="s">
        <v>16</v>
      </c>
      <c r="E441" t="s">
        <v>15</v>
      </c>
      <c r="F441" s="161" t="s">
        <v>3394</v>
      </c>
      <c r="G441" t="s">
        <v>640</v>
      </c>
      <c r="H441" s="1" t="s">
        <v>111</v>
      </c>
      <c r="I441" t="s">
        <v>2225</v>
      </c>
      <c r="K441" t="s">
        <v>2226</v>
      </c>
      <c r="L441" t="s">
        <v>612</v>
      </c>
      <c r="M441" t="s">
        <v>613</v>
      </c>
      <c r="N441" t="s">
        <v>618</v>
      </c>
      <c r="O441" s="155">
        <v>45745</v>
      </c>
    </row>
    <row r="442" spans="1:15" x14ac:dyDescent="0.25">
      <c r="A442" t="s">
        <v>554</v>
      </c>
      <c r="B442" t="s">
        <v>2234</v>
      </c>
      <c r="C442" t="s">
        <v>554</v>
      </c>
      <c r="D442" t="s">
        <v>16</v>
      </c>
      <c r="E442" t="s">
        <v>15</v>
      </c>
      <c r="F442" s="161" t="s">
        <v>3394</v>
      </c>
      <c r="G442" t="s">
        <v>1235</v>
      </c>
      <c r="H442" s="1" t="s">
        <v>111</v>
      </c>
      <c r="I442" t="s">
        <v>877</v>
      </c>
      <c r="K442" t="s">
        <v>2235</v>
      </c>
      <c r="L442" t="s">
        <v>612</v>
      </c>
      <c r="M442" t="s">
        <v>613</v>
      </c>
      <c r="N442" t="s">
        <v>618</v>
      </c>
      <c r="O442" s="155">
        <v>45735</v>
      </c>
    </row>
    <row r="443" spans="1:15" x14ac:dyDescent="0.25">
      <c r="A443" t="s">
        <v>2236</v>
      </c>
      <c r="B443" t="s">
        <v>2237</v>
      </c>
      <c r="C443" t="s">
        <v>2236</v>
      </c>
      <c r="D443" t="s">
        <v>16</v>
      </c>
      <c r="F443" s="161" t="s">
        <v>3394</v>
      </c>
      <c r="G443" t="s">
        <v>168</v>
      </c>
      <c r="H443" s="1" t="s">
        <v>3393</v>
      </c>
      <c r="I443" t="s">
        <v>2219</v>
      </c>
      <c r="K443" t="s">
        <v>2238</v>
      </c>
      <c r="L443" t="s">
        <v>612</v>
      </c>
      <c r="M443" t="s">
        <v>613</v>
      </c>
      <c r="N443" t="s">
        <v>618</v>
      </c>
    </row>
    <row r="444" spans="1:15" x14ac:dyDescent="0.25">
      <c r="A444" t="s">
        <v>2242</v>
      </c>
      <c r="B444" t="s">
        <v>2243</v>
      </c>
      <c r="C444" t="s">
        <v>2242</v>
      </c>
      <c r="D444" t="s">
        <v>16</v>
      </c>
      <c r="F444" s="161" t="s">
        <v>3394</v>
      </c>
      <c r="G444" t="s">
        <v>925</v>
      </c>
      <c r="H444" s="1" t="s">
        <v>3393</v>
      </c>
      <c r="I444" t="s">
        <v>2244</v>
      </c>
      <c r="K444" t="s">
        <v>2245</v>
      </c>
      <c r="L444" t="s">
        <v>612</v>
      </c>
      <c r="M444" t="s">
        <v>613</v>
      </c>
      <c r="N444" t="s">
        <v>618</v>
      </c>
    </row>
    <row r="445" spans="1:15" x14ac:dyDescent="0.25">
      <c r="A445" t="s">
        <v>2253</v>
      </c>
      <c r="B445" t="s">
        <v>2254</v>
      </c>
      <c r="C445" t="s">
        <v>2253</v>
      </c>
      <c r="D445" t="s">
        <v>16</v>
      </c>
      <c r="F445" s="161" t="s">
        <v>3394</v>
      </c>
      <c r="G445" t="s">
        <v>744</v>
      </c>
      <c r="H445" s="1" t="s">
        <v>3393</v>
      </c>
      <c r="I445" t="s">
        <v>1294</v>
      </c>
      <c r="K445" t="s">
        <v>2255</v>
      </c>
      <c r="L445" t="s">
        <v>612</v>
      </c>
      <c r="M445" t="s">
        <v>613</v>
      </c>
      <c r="N445" t="s">
        <v>618</v>
      </c>
    </row>
    <row r="446" spans="1:15" x14ac:dyDescent="0.25">
      <c r="A446" t="s">
        <v>57</v>
      </c>
      <c r="B446" t="s">
        <v>2256</v>
      </c>
      <c r="C446" t="s">
        <v>57</v>
      </c>
      <c r="D446" t="s">
        <v>16</v>
      </c>
      <c r="E446" t="s">
        <v>15</v>
      </c>
      <c r="F446" s="161" t="s">
        <v>3394</v>
      </c>
      <c r="G446" t="s">
        <v>1190</v>
      </c>
      <c r="H446" s="1" t="s">
        <v>595</v>
      </c>
      <c r="I446" t="s">
        <v>1604</v>
      </c>
      <c r="K446" t="s">
        <v>2257</v>
      </c>
      <c r="L446" t="s">
        <v>612</v>
      </c>
      <c r="M446" t="s">
        <v>613</v>
      </c>
      <c r="N446" t="s">
        <v>618</v>
      </c>
      <c r="O446" s="155">
        <v>0</v>
      </c>
    </row>
    <row r="447" spans="1:15" x14ac:dyDescent="0.25">
      <c r="A447" t="s">
        <v>2258</v>
      </c>
      <c r="B447" t="s">
        <v>2259</v>
      </c>
      <c r="C447" t="s">
        <v>2258</v>
      </c>
      <c r="D447" t="s">
        <v>16</v>
      </c>
      <c r="F447" s="161" t="s">
        <v>3394</v>
      </c>
      <c r="G447" t="s">
        <v>168</v>
      </c>
      <c r="H447" s="1" t="s">
        <v>3393</v>
      </c>
      <c r="I447" t="s">
        <v>2260</v>
      </c>
      <c r="K447" t="s">
        <v>2261</v>
      </c>
      <c r="L447" t="s">
        <v>612</v>
      </c>
      <c r="M447" t="s">
        <v>613</v>
      </c>
      <c r="N447" t="s">
        <v>655</v>
      </c>
    </row>
    <row r="448" spans="1:15" x14ac:dyDescent="0.25">
      <c r="A448" t="s">
        <v>477</v>
      </c>
      <c r="B448" t="s">
        <v>2262</v>
      </c>
      <c r="C448" t="s">
        <v>477</v>
      </c>
      <c r="D448" t="s">
        <v>16</v>
      </c>
      <c r="E448" t="s">
        <v>15</v>
      </c>
      <c r="F448" s="161" t="s">
        <v>3394</v>
      </c>
      <c r="G448" t="s">
        <v>1235</v>
      </c>
      <c r="H448" s="1" t="s">
        <v>111</v>
      </c>
      <c r="I448" t="s">
        <v>977</v>
      </c>
      <c r="K448" t="s">
        <v>2263</v>
      </c>
      <c r="L448" t="s">
        <v>612</v>
      </c>
      <c r="M448" t="s">
        <v>613</v>
      </c>
      <c r="N448" t="s">
        <v>618</v>
      </c>
      <c r="O448" s="155">
        <v>45579</v>
      </c>
    </row>
    <row r="449" spans="1:15" x14ac:dyDescent="0.25">
      <c r="A449" t="s">
        <v>547</v>
      </c>
      <c r="B449" t="s">
        <v>2266</v>
      </c>
      <c r="C449" t="s">
        <v>547</v>
      </c>
      <c r="D449" t="s">
        <v>16</v>
      </c>
      <c r="E449" t="s">
        <v>15</v>
      </c>
      <c r="F449" s="161" t="s">
        <v>3394</v>
      </c>
      <c r="G449" t="s">
        <v>640</v>
      </c>
      <c r="H449" s="1" t="s">
        <v>111</v>
      </c>
      <c r="I449" t="s">
        <v>617</v>
      </c>
      <c r="K449" t="s">
        <v>2267</v>
      </c>
      <c r="L449" t="s">
        <v>612</v>
      </c>
      <c r="M449" t="s">
        <v>613</v>
      </c>
      <c r="N449" t="s">
        <v>618</v>
      </c>
      <c r="O449" s="155">
        <v>46083</v>
      </c>
    </row>
    <row r="450" spans="1:15" x14ac:dyDescent="0.25">
      <c r="A450" t="s">
        <v>546</v>
      </c>
      <c r="B450" t="s">
        <v>2268</v>
      </c>
      <c r="C450" t="s">
        <v>546</v>
      </c>
      <c r="D450" t="s">
        <v>16</v>
      </c>
      <c r="E450" t="s">
        <v>15</v>
      </c>
      <c r="F450" s="161" t="s">
        <v>3394</v>
      </c>
      <c r="G450" t="s">
        <v>640</v>
      </c>
      <c r="H450" s="1" t="s">
        <v>111</v>
      </c>
      <c r="I450" t="s">
        <v>617</v>
      </c>
      <c r="L450" t="s">
        <v>612</v>
      </c>
      <c r="M450" t="s">
        <v>613</v>
      </c>
      <c r="N450" t="s">
        <v>618</v>
      </c>
      <c r="O450" s="155">
        <v>46083</v>
      </c>
    </row>
    <row r="451" spans="1:15" x14ac:dyDescent="0.25">
      <c r="A451" t="s">
        <v>575</v>
      </c>
      <c r="B451" t="s">
        <v>2273</v>
      </c>
      <c r="C451" t="s">
        <v>575</v>
      </c>
      <c r="D451" t="s">
        <v>16</v>
      </c>
      <c r="E451" t="s">
        <v>15</v>
      </c>
      <c r="F451" s="161" t="s">
        <v>3394</v>
      </c>
      <c r="G451" t="s">
        <v>640</v>
      </c>
      <c r="H451" s="1" t="s">
        <v>111</v>
      </c>
      <c r="I451" t="s">
        <v>2274</v>
      </c>
      <c r="L451" t="s">
        <v>612</v>
      </c>
      <c r="M451" t="s">
        <v>613</v>
      </c>
      <c r="N451" t="s">
        <v>618</v>
      </c>
      <c r="O451" s="155">
        <v>45908</v>
      </c>
    </row>
    <row r="452" spans="1:15" x14ac:dyDescent="0.25">
      <c r="A452" t="s">
        <v>574</v>
      </c>
      <c r="B452" t="s">
        <v>2278</v>
      </c>
      <c r="C452" t="s">
        <v>574</v>
      </c>
      <c r="D452" t="s">
        <v>16</v>
      </c>
      <c r="E452" t="s">
        <v>15</v>
      </c>
      <c r="F452" s="161" t="s">
        <v>3394</v>
      </c>
      <c r="G452" t="s">
        <v>700</v>
      </c>
      <c r="H452" s="1" t="s">
        <v>587</v>
      </c>
      <c r="I452" t="s">
        <v>1825</v>
      </c>
      <c r="L452" t="s">
        <v>612</v>
      </c>
      <c r="M452" t="s">
        <v>613</v>
      </c>
      <c r="N452" t="s">
        <v>618</v>
      </c>
      <c r="O452" s="155">
        <v>46086</v>
      </c>
    </row>
    <row r="453" spans="1:15" x14ac:dyDescent="0.25">
      <c r="A453" t="s">
        <v>2279</v>
      </c>
      <c r="B453" t="s">
        <v>2280</v>
      </c>
      <c r="C453" t="s">
        <v>2279</v>
      </c>
      <c r="D453" t="s">
        <v>16</v>
      </c>
      <c r="F453" s="161" t="s">
        <v>3394</v>
      </c>
      <c r="G453" t="s">
        <v>752</v>
      </c>
      <c r="H453" s="1" t="s">
        <v>3393</v>
      </c>
      <c r="I453" t="s">
        <v>1620</v>
      </c>
      <c r="K453" t="s">
        <v>2281</v>
      </c>
      <c r="L453" t="s">
        <v>612</v>
      </c>
      <c r="M453" t="s">
        <v>613</v>
      </c>
      <c r="N453" t="s">
        <v>618</v>
      </c>
    </row>
    <row r="454" spans="1:15" x14ac:dyDescent="0.25">
      <c r="A454" t="s">
        <v>573</v>
      </c>
      <c r="B454" t="s">
        <v>2282</v>
      </c>
      <c r="C454" t="s">
        <v>573</v>
      </c>
      <c r="D454" t="s">
        <v>16</v>
      </c>
      <c r="E454" t="s">
        <v>15</v>
      </c>
      <c r="F454" s="161" t="s">
        <v>3394</v>
      </c>
      <c r="G454" t="s">
        <v>640</v>
      </c>
      <c r="H454" s="1" t="s">
        <v>111</v>
      </c>
      <c r="I454" t="s">
        <v>1227</v>
      </c>
      <c r="L454" t="s">
        <v>612</v>
      </c>
      <c r="M454" t="s">
        <v>613</v>
      </c>
      <c r="N454" t="s">
        <v>618</v>
      </c>
      <c r="O454" s="155">
        <v>45478</v>
      </c>
    </row>
    <row r="455" spans="1:15" x14ac:dyDescent="0.25">
      <c r="A455" t="s">
        <v>21</v>
      </c>
      <c r="B455" t="s">
        <v>2283</v>
      </c>
      <c r="C455" t="s">
        <v>21</v>
      </c>
      <c r="D455" t="s">
        <v>16</v>
      </c>
      <c r="E455" t="s">
        <v>19</v>
      </c>
      <c r="F455" s="161" t="s">
        <v>3394</v>
      </c>
      <c r="G455" t="s">
        <v>744</v>
      </c>
      <c r="H455" s="1" t="s">
        <v>590</v>
      </c>
      <c r="I455" t="s">
        <v>2274</v>
      </c>
      <c r="L455" t="s">
        <v>612</v>
      </c>
      <c r="M455" t="s">
        <v>613</v>
      </c>
      <c r="N455" t="s">
        <v>618</v>
      </c>
      <c r="O455" s="155">
        <v>45908</v>
      </c>
    </row>
    <row r="456" spans="1:15" x14ac:dyDescent="0.25">
      <c r="A456" t="s">
        <v>473</v>
      </c>
      <c r="B456" t="s">
        <v>2284</v>
      </c>
      <c r="C456" t="s">
        <v>473</v>
      </c>
      <c r="D456" t="s">
        <v>16</v>
      </c>
      <c r="E456" t="s">
        <v>15</v>
      </c>
      <c r="F456" s="161" t="s">
        <v>3394</v>
      </c>
      <c r="G456" t="s">
        <v>749</v>
      </c>
      <c r="H456" s="1" t="s">
        <v>594</v>
      </c>
      <c r="I456" t="s">
        <v>1517</v>
      </c>
      <c r="L456" t="s">
        <v>612</v>
      </c>
      <c r="M456" t="s">
        <v>613</v>
      </c>
      <c r="N456" t="s">
        <v>618</v>
      </c>
      <c r="O456" s="155">
        <v>46167</v>
      </c>
    </row>
    <row r="457" spans="1:15" x14ac:dyDescent="0.25">
      <c r="A457" t="s">
        <v>2285</v>
      </c>
      <c r="B457" t="s">
        <v>2286</v>
      </c>
      <c r="C457" t="s">
        <v>2285</v>
      </c>
      <c r="D457" t="s">
        <v>16</v>
      </c>
      <c r="F457" s="161" t="s">
        <v>3394</v>
      </c>
      <c r="G457" t="s">
        <v>640</v>
      </c>
      <c r="H457" s="1" t="s">
        <v>3393</v>
      </c>
      <c r="I457" t="s">
        <v>2274</v>
      </c>
      <c r="L457" t="s">
        <v>612</v>
      </c>
      <c r="M457" t="s">
        <v>613</v>
      </c>
      <c r="N457" t="s">
        <v>618</v>
      </c>
    </row>
    <row r="458" spans="1:15" x14ac:dyDescent="0.25">
      <c r="A458" t="s">
        <v>2287</v>
      </c>
      <c r="B458" t="s">
        <v>2288</v>
      </c>
      <c r="C458" t="s">
        <v>2287</v>
      </c>
      <c r="D458" t="s">
        <v>16</v>
      </c>
      <c r="F458" s="161" t="s">
        <v>3394</v>
      </c>
      <c r="G458" t="s">
        <v>744</v>
      </c>
      <c r="H458" s="1" t="s">
        <v>3393</v>
      </c>
      <c r="I458" t="s">
        <v>2289</v>
      </c>
      <c r="K458" t="s">
        <v>2290</v>
      </c>
      <c r="L458" t="s">
        <v>612</v>
      </c>
      <c r="M458" t="s">
        <v>613</v>
      </c>
      <c r="N458" t="s">
        <v>618</v>
      </c>
    </row>
    <row r="459" spans="1:15" x14ac:dyDescent="0.25">
      <c r="A459" t="s">
        <v>2291</v>
      </c>
      <c r="B459" t="s">
        <v>2292</v>
      </c>
      <c r="C459" t="s">
        <v>2291</v>
      </c>
      <c r="D459" t="s">
        <v>16</v>
      </c>
      <c r="F459" s="161" t="s">
        <v>3394</v>
      </c>
      <c r="G459" t="s">
        <v>752</v>
      </c>
      <c r="H459" s="1" t="s">
        <v>3393</v>
      </c>
      <c r="I459" t="s">
        <v>2293</v>
      </c>
      <c r="L459" t="s">
        <v>612</v>
      </c>
      <c r="M459" t="s">
        <v>613</v>
      </c>
      <c r="N459" t="s">
        <v>618</v>
      </c>
    </row>
    <row r="460" spans="1:15" x14ac:dyDescent="0.25">
      <c r="A460" t="s">
        <v>339</v>
      </c>
      <c r="B460" t="s">
        <v>2294</v>
      </c>
      <c r="C460" t="s">
        <v>339</v>
      </c>
      <c r="D460" t="s">
        <v>16</v>
      </c>
      <c r="E460" t="s">
        <v>15</v>
      </c>
      <c r="F460" s="161" t="s">
        <v>3394</v>
      </c>
      <c r="G460" t="s">
        <v>1849</v>
      </c>
      <c r="H460" s="1" t="s">
        <v>3393</v>
      </c>
      <c r="I460" t="s">
        <v>2295</v>
      </c>
      <c r="L460" t="s">
        <v>612</v>
      </c>
      <c r="M460" t="s">
        <v>613</v>
      </c>
      <c r="N460" t="s">
        <v>655</v>
      </c>
      <c r="O460" s="155">
        <v>46142</v>
      </c>
    </row>
    <row r="461" spans="1:15" x14ac:dyDescent="0.25">
      <c r="A461" t="s">
        <v>2296</v>
      </c>
      <c r="B461" t="s">
        <v>2297</v>
      </c>
      <c r="C461" t="s">
        <v>2296</v>
      </c>
      <c r="D461" t="s">
        <v>16</v>
      </c>
      <c r="F461" s="161" t="s">
        <v>3394</v>
      </c>
      <c r="G461" t="s">
        <v>744</v>
      </c>
      <c r="H461" s="1" t="s">
        <v>3393</v>
      </c>
      <c r="I461" t="s">
        <v>1592</v>
      </c>
      <c r="K461" t="s">
        <v>2298</v>
      </c>
      <c r="L461" t="s">
        <v>612</v>
      </c>
      <c r="M461" t="s">
        <v>613</v>
      </c>
      <c r="N461" t="s">
        <v>618</v>
      </c>
    </row>
    <row r="462" spans="1:15" x14ac:dyDescent="0.25">
      <c r="A462" t="s">
        <v>2301</v>
      </c>
      <c r="B462" t="s">
        <v>2302</v>
      </c>
      <c r="C462" t="s">
        <v>2301</v>
      </c>
      <c r="D462" t="s">
        <v>16</v>
      </c>
      <c r="F462" s="161" t="s">
        <v>3394</v>
      </c>
      <c r="G462" t="s">
        <v>640</v>
      </c>
      <c r="H462" s="1" t="s">
        <v>3393</v>
      </c>
      <c r="I462" t="s">
        <v>2303</v>
      </c>
      <c r="K462" t="s">
        <v>2304</v>
      </c>
      <c r="L462" t="s">
        <v>612</v>
      </c>
      <c r="M462" t="s">
        <v>613</v>
      </c>
      <c r="N462" t="s">
        <v>618</v>
      </c>
    </row>
    <row r="463" spans="1:15" x14ac:dyDescent="0.25">
      <c r="A463" t="s">
        <v>2305</v>
      </c>
      <c r="B463" t="s">
        <v>2306</v>
      </c>
      <c r="C463" t="s">
        <v>2305</v>
      </c>
      <c r="D463" t="s">
        <v>16</v>
      </c>
      <c r="F463" s="161" t="s">
        <v>3394</v>
      </c>
      <c r="H463" s="1" t="s">
        <v>3393</v>
      </c>
      <c r="K463" t="s">
        <v>2307</v>
      </c>
      <c r="L463" t="s">
        <v>612</v>
      </c>
      <c r="M463" t="s">
        <v>613</v>
      </c>
      <c r="N463" t="s">
        <v>618</v>
      </c>
    </row>
    <row r="464" spans="1:15" x14ac:dyDescent="0.25">
      <c r="A464" t="s">
        <v>163</v>
      </c>
      <c r="B464" t="s">
        <v>2308</v>
      </c>
      <c r="C464" t="s">
        <v>163</v>
      </c>
      <c r="D464" t="s">
        <v>16</v>
      </c>
      <c r="E464" t="s">
        <v>15</v>
      </c>
      <c r="F464" s="161" t="s">
        <v>3394</v>
      </c>
      <c r="G464" t="s">
        <v>716</v>
      </c>
      <c r="H464" s="1" t="s">
        <v>3393</v>
      </c>
      <c r="I464" t="s">
        <v>2295</v>
      </c>
      <c r="L464" t="s">
        <v>612</v>
      </c>
      <c r="M464" t="s">
        <v>613</v>
      </c>
      <c r="N464" t="s">
        <v>655</v>
      </c>
      <c r="O464" s="155">
        <v>46140</v>
      </c>
    </row>
    <row r="465" spans="1:15" x14ac:dyDescent="0.25">
      <c r="A465" t="s">
        <v>2309</v>
      </c>
      <c r="B465" t="s">
        <v>2310</v>
      </c>
      <c r="C465" t="s">
        <v>2309</v>
      </c>
      <c r="D465" t="s">
        <v>16</v>
      </c>
      <c r="F465" s="161" t="s">
        <v>3394</v>
      </c>
      <c r="G465" t="s">
        <v>168</v>
      </c>
      <c r="H465" s="1" t="s">
        <v>3393</v>
      </c>
      <c r="I465" t="s">
        <v>952</v>
      </c>
      <c r="K465" t="s">
        <v>2311</v>
      </c>
      <c r="L465" t="s">
        <v>612</v>
      </c>
      <c r="M465" t="s">
        <v>613</v>
      </c>
      <c r="N465" t="s">
        <v>655</v>
      </c>
    </row>
    <row r="466" spans="1:15" x14ac:dyDescent="0.25">
      <c r="A466" t="s">
        <v>2312</v>
      </c>
      <c r="B466" t="s">
        <v>2313</v>
      </c>
      <c r="C466" t="s">
        <v>2312</v>
      </c>
      <c r="D466" t="s">
        <v>16</v>
      </c>
      <c r="F466" s="161" t="s">
        <v>3394</v>
      </c>
      <c r="G466" t="s">
        <v>744</v>
      </c>
      <c r="H466" s="1" t="s">
        <v>3393</v>
      </c>
      <c r="I466" t="s">
        <v>2314</v>
      </c>
      <c r="L466" t="s">
        <v>612</v>
      </c>
      <c r="M466" t="s">
        <v>613</v>
      </c>
      <c r="N466" t="s">
        <v>618</v>
      </c>
    </row>
    <row r="467" spans="1:15" x14ac:dyDescent="0.25">
      <c r="A467" t="s">
        <v>2315</v>
      </c>
      <c r="B467" t="s">
        <v>2316</v>
      </c>
      <c r="C467" t="s">
        <v>2315</v>
      </c>
      <c r="D467" t="s">
        <v>16</v>
      </c>
      <c r="F467" s="161" t="s">
        <v>3394</v>
      </c>
      <c r="G467" t="s">
        <v>744</v>
      </c>
      <c r="H467" s="1" t="s">
        <v>3393</v>
      </c>
      <c r="I467" t="s">
        <v>1717</v>
      </c>
      <c r="L467" t="s">
        <v>612</v>
      </c>
      <c r="M467" t="s">
        <v>613</v>
      </c>
      <c r="N467" t="s">
        <v>618</v>
      </c>
    </row>
    <row r="468" spans="1:15" x14ac:dyDescent="0.25">
      <c r="A468" t="s">
        <v>2317</v>
      </c>
      <c r="B468" t="s">
        <v>2318</v>
      </c>
      <c r="C468" t="s">
        <v>2317</v>
      </c>
      <c r="D468" t="s">
        <v>16</v>
      </c>
      <c r="F468" s="161" t="s">
        <v>3394</v>
      </c>
      <c r="G468" t="s">
        <v>744</v>
      </c>
      <c r="H468" s="1" t="s">
        <v>3393</v>
      </c>
      <c r="I468" t="s">
        <v>2319</v>
      </c>
      <c r="K468" t="s">
        <v>2320</v>
      </c>
      <c r="L468" t="s">
        <v>612</v>
      </c>
      <c r="M468" t="s">
        <v>613</v>
      </c>
      <c r="N468" t="s">
        <v>618</v>
      </c>
    </row>
    <row r="469" spans="1:15" x14ac:dyDescent="0.25">
      <c r="A469" t="s">
        <v>2321</v>
      </c>
      <c r="B469" t="s">
        <v>2322</v>
      </c>
      <c r="C469" t="s">
        <v>2321</v>
      </c>
      <c r="D469" t="s">
        <v>16</v>
      </c>
      <c r="F469" s="161" t="s">
        <v>3394</v>
      </c>
      <c r="G469" t="s">
        <v>749</v>
      </c>
      <c r="H469" s="1" t="s">
        <v>3393</v>
      </c>
      <c r="I469" t="s">
        <v>1825</v>
      </c>
      <c r="L469" t="s">
        <v>612</v>
      </c>
      <c r="M469" t="s">
        <v>613</v>
      </c>
      <c r="N469" t="s">
        <v>618</v>
      </c>
    </row>
    <row r="470" spans="1:15" x14ac:dyDescent="0.25">
      <c r="A470" t="s">
        <v>2323</v>
      </c>
      <c r="B470" t="s">
        <v>2324</v>
      </c>
      <c r="C470" t="s">
        <v>2323</v>
      </c>
      <c r="D470" t="s">
        <v>16</v>
      </c>
      <c r="F470" s="161" t="s">
        <v>3394</v>
      </c>
      <c r="G470" t="s">
        <v>67</v>
      </c>
      <c r="H470" s="1" t="s">
        <v>3393</v>
      </c>
      <c r="I470" t="s">
        <v>2325</v>
      </c>
      <c r="L470" t="s">
        <v>612</v>
      </c>
      <c r="M470" t="s">
        <v>613</v>
      </c>
      <c r="N470" t="s">
        <v>655</v>
      </c>
    </row>
    <row r="471" spans="1:15" x14ac:dyDescent="0.25">
      <c r="A471" t="s">
        <v>2334</v>
      </c>
      <c r="B471" t="s">
        <v>2335</v>
      </c>
      <c r="C471" t="s">
        <v>2334</v>
      </c>
      <c r="D471" t="s">
        <v>16</v>
      </c>
      <c r="F471" s="161" t="s">
        <v>3394</v>
      </c>
      <c r="G471" t="s">
        <v>1849</v>
      </c>
      <c r="H471" s="1" t="s">
        <v>3393</v>
      </c>
      <c r="I471" t="s">
        <v>2336</v>
      </c>
      <c r="L471" t="s">
        <v>612</v>
      </c>
      <c r="M471" t="s">
        <v>613</v>
      </c>
      <c r="N471" t="s">
        <v>655</v>
      </c>
    </row>
    <row r="472" spans="1:15" x14ac:dyDescent="0.25">
      <c r="A472" t="s">
        <v>208</v>
      </c>
      <c r="B472" t="s">
        <v>2337</v>
      </c>
      <c r="C472" t="s">
        <v>208</v>
      </c>
      <c r="D472" t="s">
        <v>16</v>
      </c>
      <c r="E472" t="s">
        <v>15</v>
      </c>
      <c r="F472" s="161" t="s">
        <v>3394</v>
      </c>
      <c r="G472" t="s">
        <v>67</v>
      </c>
      <c r="H472" s="1" t="s">
        <v>3393</v>
      </c>
      <c r="I472" t="s">
        <v>867</v>
      </c>
      <c r="L472" t="s">
        <v>612</v>
      </c>
      <c r="M472" t="s">
        <v>613</v>
      </c>
      <c r="N472" t="s">
        <v>655</v>
      </c>
      <c r="O472" s="155">
        <v>46204</v>
      </c>
    </row>
    <row r="473" spans="1:15" x14ac:dyDescent="0.25">
      <c r="A473" t="s">
        <v>2338</v>
      </c>
      <c r="B473" t="s">
        <v>2339</v>
      </c>
      <c r="C473" t="s">
        <v>2338</v>
      </c>
      <c r="D473" t="s">
        <v>16</v>
      </c>
      <c r="F473" s="161" t="s">
        <v>3394</v>
      </c>
      <c r="G473" t="s">
        <v>2340</v>
      </c>
      <c r="H473" s="1" t="s">
        <v>3393</v>
      </c>
      <c r="I473" t="s">
        <v>2336</v>
      </c>
      <c r="L473" t="s">
        <v>612</v>
      </c>
      <c r="M473" t="s">
        <v>613</v>
      </c>
      <c r="N473" t="s">
        <v>655</v>
      </c>
    </row>
    <row r="474" spans="1:15" x14ac:dyDescent="0.25">
      <c r="A474" t="s">
        <v>329</v>
      </c>
      <c r="B474" t="s">
        <v>2341</v>
      </c>
      <c r="C474" t="s">
        <v>329</v>
      </c>
      <c r="D474" t="s">
        <v>16</v>
      </c>
      <c r="E474" t="s">
        <v>15</v>
      </c>
      <c r="F474" s="161" t="s">
        <v>3394</v>
      </c>
      <c r="G474" t="s">
        <v>836</v>
      </c>
      <c r="H474" s="1" t="s">
        <v>3393</v>
      </c>
      <c r="I474" t="s">
        <v>2194</v>
      </c>
      <c r="K474" t="s">
        <v>2342</v>
      </c>
      <c r="L474" t="s">
        <v>612</v>
      </c>
      <c r="M474" t="s">
        <v>613</v>
      </c>
      <c r="N474" t="s">
        <v>655</v>
      </c>
      <c r="O474" s="155">
        <v>45754</v>
      </c>
    </row>
    <row r="475" spans="1:15" x14ac:dyDescent="0.25">
      <c r="A475" t="s">
        <v>66</v>
      </c>
      <c r="B475" t="s">
        <v>2346</v>
      </c>
      <c r="C475" t="s">
        <v>66</v>
      </c>
      <c r="D475" t="s">
        <v>16</v>
      </c>
      <c r="E475" t="s">
        <v>15</v>
      </c>
      <c r="F475" s="161" t="s">
        <v>3394</v>
      </c>
      <c r="G475" t="s">
        <v>67</v>
      </c>
      <c r="H475" s="1" t="s">
        <v>3393</v>
      </c>
      <c r="I475" t="s">
        <v>2347</v>
      </c>
      <c r="K475" t="s">
        <v>2348</v>
      </c>
      <c r="L475" t="s">
        <v>612</v>
      </c>
      <c r="M475" t="s">
        <v>613</v>
      </c>
      <c r="N475" t="s">
        <v>655</v>
      </c>
      <c r="O475" s="155">
        <v>45839</v>
      </c>
    </row>
    <row r="476" spans="1:15" x14ac:dyDescent="0.25">
      <c r="A476" t="s">
        <v>2349</v>
      </c>
      <c r="B476" t="s">
        <v>2350</v>
      </c>
      <c r="C476" t="s">
        <v>2349</v>
      </c>
      <c r="D476" t="s">
        <v>16</v>
      </c>
      <c r="F476" s="161" t="s">
        <v>3394</v>
      </c>
      <c r="G476" t="s">
        <v>749</v>
      </c>
      <c r="H476" s="1" t="s">
        <v>3393</v>
      </c>
      <c r="I476" t="s">
        <v>833</v>
      </c>
      <c r="K476" t="s">
        <v>2351</v>
      </c>
      <c r="L476" t="s">
        <v>612</v>
      </c>
      <c r="M476" t="s">
        <v>613</v>
      </c>
      <c r="N476" t="s">
        <v>618</v>
      </c>
    </row>
    <row r="477" spans="1:15" x14ac:dyDescent="0.25">
      <c r="A477" t="s">
        <v>2352</v>
      </c>
      <c r="B477" t="s">
        <v>2353</v>
      </c>
      <c r="C477" t="s">
        <v>2352</v>
      </c>
      <c r="D477" t="s">
        <v>16</v>
      </c>
      <c r="F477" s="161" t="s">
        <v>3394</v>
      </c>
      <c r="G477" t="s">
        <v>749</v>
      </c>
      <c r="H477" s="1" t="s">
        <v>3393</v>
      </c>
      <c r="I477" t="s">
        <v>877</v>
      </c>
      <c r="K477" t="s">
        <v>2354</v>
      </c>
      <c r="L477" t="s">
        <v>612</v>
      </c>
      <c r="M477" t="s">
        <v>613</v>
      </c>
      <c r="N477" t="s">
        <v>618</v>
      </c>
    </row>
    <row r="478" spans="1:15" x14ac:dyDescent="0.25">
      <c r="A478" t="s">
        <v>2355</v>
      </c>
      <c r="B478" t="s">
        <v>2356</v>
      </c>
      <c r="C478" t="s">
        <v>2355</v>
      </c>
      <c r="D478" t="s">
        <v>16</v>
      </c>
      <c r="F478" s="161" t="s">
        <v>3394</v>
      </c>
      <c r="G478" t="s">
        <v>749</v>
      </c>
      <c r="H478" s="1" t="s">
        <v>3393</v>
      </c>
      <c r="I478" t="s">
        <v>833</v>
      </c>
      <c r="K478" t="s">
        <v>2357</v>
      </c>
      <c r="L478" t="s">
        <v>612</v>
      </c>
      <c r="M478" t="s">
        <v>613</v>
      </c>
      <c r="N478" t="s">
        <v>618</v>
      </c>
    </row>
    <row r="479" spans="1:15" x14ac:dyDescent="0.25">
      <c r="A479" t="s">
        <v>2358</v>
      </c>
      <c r="B479" t="s">
        <v>2359</v>
      </c>
      <c r="C479" t="s">
        <v>2358</v>
      </c>
      <c r="D479" t="s">
        <v>16</v>
      </c>
      <c r="F479" s="161" t="s">
        <v>3394</v>
      </c>
      <c r="G479" t="s">
        <v>744</v>
      </c>
      <c r="H479" s="1" t="s">
        <v>3393</v>
      </c>
      <c r="I479" t="s">
        <v>2360</v>
      </c>
      <c r="K479" t="s">
        <v>2361</v>
      </c>
      <c r="L479" t="s">
        <v>612</v>
      </c>
      <c r="M479" t="s">
        <v>613</v>
      </c>
      <c r="N479" t="s">
        <v>618</v>
      </c>
    </row>
    <row r="480" spans="1:15" x14ac:dyDescent="0.25">
      <c r="A480" t="s">
        <v>2362</v>
      </c>
      <c r="B480" t="s">
        <v>2363</v>
      </c>
      <c r="C480" t="s">
        <v>2362</v>
      </c>
      <c r="D480" t="s">
        <v>16</v>
      </c>
      <c r="F480" s="161" t="s">
        <v>3394</v>
      </c>
      <c r="G480" t="s">
        <v>616</v>
      </c>
      <c r="H480" s="1" t="s">
        <v>3393</v>
      </c>
      <c r="I480" t="s">
        <v>1063</v>
      </c>
      <c r="L480" t="s">
        <v>612</v>
      </c>
      <c r="M480" t="s">
        <v>613</v>
      </c>
      <c r="N480" t="s">
        <v>618</v>
      </c>
    </row>
    <row r="481" spans="1:15" x14ac:dyDescent="0.25">
      <c r="A481" t="s">
        <v>2364</v>
      </c>
      <c r="B481" t="s">
        <v>2365</v>
      </c>
      <c r="C481" t="s">
        <v>2364</v>
      </c>
      <c r="D481" t="s">
        <v>16</v>
      </c>
      <c r="F481" s="161" t="s">
        <v>3394</v>
      </c>
      <c r="G481" t="s">
        <v>749</v>
      </c>
      <c r="H481" s="1" t="s">
        <v>3393</v>
      </c>
      <c r="I481" t="s">
        <v>2366</v>
      </c>
      <c r="K481" t="s">
        <v>2367</v>
      </c>
      <c r="L481" t="s">
        <v>612</v>
      </c>
      <c r="M481" t="s">
        <v>613</v>
      </c>
      <c r="N481" t="s">
        <v>618</v>
      </c>
    </row>
    <row r="482" spans="1:15" x14ac:dyDescent="0.25">
      <c r="A482" t="s">
        <v>443</v>
      </c>
      <c r="B482" t="s">
        <v>2370</v>
      </c>
      <c r="C482" t="s">
        <v>443</v>
      </c>
      <c r="D482" t="s">
        <v>16</v>
      </c>
      <c r="E482" t="s">
        <v>19</v>
      </c>
      <c r="F482" s="161" t="s">
        <v>3394</v>
      </c>
      <c r="G482" t="s">
        <v>752</v>
      </c>
      <c r="H482" s="1" t="s">
        <v>596</v>
      </c>
      <c r="I482" t="s">
        <v>2371</v>
      </c>
      <c r="K482" t="s">
        <v>2372</v>
      </c>
      <c r="L482" t="s">
        <v>612</v>
      </c>
      <c r="M482" t="s">
        <v>613</v>
      </c>
      <c r="N482" t="s">
        <v>618</v>
      </c>
      <c r="O482" s="155">
        <v>45584</v>
      </c>
    </row>
    <row r="483" spans="1:15" x14ac:dyDescent="0.25">
      <c r="A483" t="s">
        <v>2373</v>
      </c>
      <c r="B483" t="s">
        <v>2374</v>
      </c>
      <c r="C483" t="s">
        <v>2373</v>
      </c>
      <c r="D483" t="s">
        <v>16</v>
      </c>
      <c r="F483" s="161" t="s">
        <v>3394</v>
      </c>
      <c r="G483" t="s">
        <v>752</v>
      </c>
      <c r="H483" s="1" t="s">
        <v>3393</v>
      </c>
      <c r="I483" t="s">
        <v>1870</v>
      </c>
      <c r="K483" t="s">
        <v>2375</v>
      </c>
      <c r="L483" t="s">
        <v>612</v>
      </c>
      <c r="M483" t="s">
        <v>613</v>
      </c>
      <c r="N483" t="s">
        <v>618</v>
      </c>
    </row>
    <row r="484" spans="1:15" x14ac:dyDescent="0.25">
      <c r="A484" t="s">
        <v>118</v>
      </c>
      <c r="B484" t="s">
        <v>2376</v>
      </c>
      <c r="C484" t="s">
        <v>118</v>
      </c>
      <c r="D484" t="s">
        <v>16</v>
      </c>
      <c r="E484" t="s">
        <v>15</v>
      </c>
      <c r="F484" s="161" t="s">
        <v>3394</v>
      </c>
      <c r="G484" t="s">
        <v>1849</v>
      </c>
      <c r="H484" s="1" t="s">
        <v>3393</v>
      </c>
      <c r="I484" t="s">
        <v>2336</v>
      </c>
      <c r="L484" t="s">
        <v>612</v>
      </c>
      <c r="M484" t="s">
        <v>613</v>
      </c>
      <c r="N484" t="s">
        <v>655</v>
      </c>
      <c r="O484" s="155">
        <v>46188</v>
      </c>
    </row>
    <row r="485" spans="1:15" x14ac:dyDescent="0.25">
      <c r="A485" t="s">
        <v>2380</v>
      </c>
      <c r="B485" t="s">
        <v>2381</v>
      </c>
      <c r="C485" t="s">
        <v>2380</v>
      </c>
      <c r="D485" t="s">
        <v>16</v>
      </c>
      <c r="F485" s="161" t="s">
        <v>3394</v>
      </c>
      <c r="G485" t="s">
        <v>168</v>
      </c>
      <c r="H485" s="1" t="s">
        <v>3393</v>
      </c>
      <c r="I485" t="s">
        <v>1865</v>
      </c>
      <c r="L485" t="s">
        <v>612</v>
      </c>
      <c r="M485" t="s">
        <v>613</v>
      </c>
      <c r="N485" t="s">
        <v>655</v>
      </c>
    </row>
    <row r="486" spans="1:15" x14ac:dyDescent="0.25">
      <c r="A486" t="s">
        <v>373</v>
      </c>
      <c r="B486" t="s">
        <v>2382</v>
      </c>
      <c r="C486" t="s">
        <v>373</v>
      </c>
      <c r="D486" t="s">
        <v>16</v>
      </c>
      <c r="E486" t="s">
        <v>15</v>
      </c>
      <c r="F486" s="161" t="s">
        <v>3394</v>
      </c>
      <c r="G486" t="s">
        <v>814</v>
      </c>
      <c r="H486" s="1" t="s">
        <v>587</v>
      </c>
      <c r="I486" t="s">
        <v>2383</v>
      </c>
      <c r="K486" t="s">
        <v>2384</v>
      </c>
      <c r="L486" t="s">
        <v>612</v>
      </c>
      <c r="M486" t="s">
        <v>613</v>
      </c>
      <c r="N486" t="s">
        <v>618</v>
      </c>
      <c r="O486" s="155" t="s">
        <v>374</v>
      </c>
    </row>
    <row r="487" spans="1:15" x14ac:dyDescent="0.25">
      <c r="A487" t="s">
        <v>498</v>
      </c>
      <c r="B487" t="s">
        <v>2385</v>
      </c>
      <c r="C487" t="s">
        <v>498</v>
      </c>
      <c r="D487" t="s">
        <v>16</v>
      </c>
      <c r="E487" t="s">
        <v>15</v>
      </c>
      <c r="F487" s="161" t="s">
        <v>3394</v>
      </c>
      <c r="G487" t="s">
        <v>1072</v>
      </c>
      <c r="H487" s="1" t="s">
        <v>587</v>
      </c>
      <c r="I487" t="s">
        <v>2366</v>
      </c>
      <c r="K487" t="s">
        <v>2386</v>
      </c>
      <c r="L487" t="s">
        <v>612</v>
      </c>
      <c r="M487" t="s">
        <v>613</v>
      </c>
      <c r="N487" t="s">
        <v>618</v>
      </c>
      <c r="O487" s="155">
        <v>45824</v>
      </c>
    </row>
    <row r="488" spans="1:15" x14ac:dyDescent="0.25">
      <c r="A488" t="s">
        <v>2393</v>
      </c>
      <c r="B488" t="s">
        <v>2394</v>
      </c>
      <c r="C488" t="s">
        <v>2393</v>
      </c>
      <c r="D488" t="s">
        <v>16</v>
      </c>
      <c r="F488" s="161" t="s">
        <v>3394</v>
      </c>
      <c r="G488" t="s">
        <v>752</v>
      </c>
      <c r="H488" s="1" t="s">
        <v>3393</v>
      </c>
      <c r="I488" t="s">
        <v>2395</v>
      </c>
      <c r="K488" t="s">
        <v>2396</v>
      </c>
      <c r="L488" t="s">
        <v>612</v>
      </c>
      <c r="M488" t="s">
        <v>613</v>
      </c>
      <c r="N488" t="s">
        <v>618</v>
      </c>
    </row>
    <row r="489" spans="1:15" x14ac:dyDescent="0.25">
      <c r="A489" t="s">
        <v>263</v>
      </c>
      <c r="B489" t="s">
        <v>2410</v>
      </c>
      <c r="C489" t="s">
        <v>263</v>
      </c>
      <c r="D489" t="s">
        <v>16</v>
      </c>
      <c r="E489" t="s">
        <v>19</v>
      </c>
      <c r="F489" s="161" t="s">
        <v>3394</v>
      </c>
      <c r="G489" t="s">
        <v>67</v>
      </c>
      <c r="H489" s="1" t="s">
        <v>3393</v>
      </c>
      <c r="I489" t="s">
        <v>734</v>
      </c>
      <c r="L489" t="s">
        <v>612</v>
      </c>
      <c r="M489" t="s">
        <v>613</v>
      </c>
      <c r="N489" t="s">
        <v>655</v>
      </c>
      <c r="O489" s="155">
        <v>46083</v>
      </c>
    </row>
    <row r="490" spans="1:15" x14ac:dyDescent="0.25">
      <c r="A490" t="s">
        <v>2411</v>
      </c>
      <c r="B490" t="s">
        <v>2412</v>
      </c>
      <c r="C490" t="s">
        <v>2411</v>
      </c>
      <c r="D490" t="s">
        <v>16</v>
      </c>
      <c r="F490" s="161" t="s">
        <v>3394</v>
      </c>
      <c r="G490" t="s">
        <v>876</v>
      </c>
      <c r="H490" s="1" t="s">
        <v>3393</v>
      </c>
      <c r="I490" t="s">
        <v>1257</v>
      </c>
      <c r="K490" t="s">
        <v>2413</v>
      </c>
      <c r="L490" t="s">
        <v>612</v>
      </c>
      <c r="M490" t="s">
        <v>613</v>
      </c>
      <c r="N490" t="s">
        <v>618</v>
      </c>
    </row>
    <row r="491" spans="1:15" x14ac:dyDescent="0.25">
      <c r="A491" t="s">
        <v>2414</v>
      </c>
      <c r="B491" t="s">
        <v>2415</v>
      </c>
      <c r="C491" t="s">
        <v>2414</v>
      </c>
      <c r="D491" t="s">
        <v>16</v>
      </c>
      <c r="F491" s="161" t="s">
        <v>3394</v>
      </c>
      <c r="G491" t="s">
        <v>744</v>
      </c>
      <c r="H491" s="1" t="s">
        <v>3393</v>
      </c>
      <c r="I491" t="s">
        <v>1948</v>
      </c>
      <c r="L491" t="s">
        <v>612</v>
      </c>
      <c r="M491" t="s">
        <v>613</v>
      </c>
      <c r="N491" t="s">
        <v>618</v>
      </c>
    </row>
    <row r="492" spans="1:15" x14ac:dyDescent="0.25">
      <c r="A492" t="s">
        <v>2419</v>
      </c>
      <c r="B492" t="s">
        <v>2420</v>
      </c>
      <c r="C492" t="s">
        <v>2419</v>
      </c>
      <c r="D492" t="s">
        <v>16</v>
      </c>
      <c r="F492" s="161" t="s">
        <v>3394</v>
      </c>
      <c r="H492" s="1" t="s">
        <v>3393</v>
      </c>
      <c r="K492" t="s">
        <v>2421</v>
      </c>
      <c r="L492" t="s">
        <v>612</v>
      </c>
      <c r="M492" t="s">
        <v>613</v>
      </c>
      <c r="N492" t="s">
        <v>618</v>
      </c>
    </row>
    <row r="493" spans="1:15" x14ac:dyDescent="0.25">
      <c r="A493" t="s">
        <v>23</v>
      </c>
      <c r="B493" t="s">
        <v>2422</v>
      </c>
      <c r="C493" t="s">
        <v>23</v>
      </c>
      <c r="D493" t="s">
        <v>16</v>
      </c>
      <c r="E493" t="s">
        <v>15</v>
      </c>
      <c r="F493" s="161" t="s">
        <v>3394</v>
      </c>
      <c r="G493" t="s">
        <v>744</v>
      </c>
      <c r="H493" s="1" t="s">
        <v>590</v>
      </c>
      <c r="I493" t="s">
        <v>2274</v>
      </c>
      <c r="L493" t="s">
        <v>612</v>
      </c>
      <c r="M493" t="s">
        <v>613</v>
      </c>
      <c r="N493" t="s">
        <v>618</v>
      </c>
      <c r="O493" s="155">
        <v>45908</v>
      </c>
    </row>
    <row r="494" spans="1:15" x14ac:dyDescent="0.25">
      <c r="A494" t="s">
        <v>418</v>
      </c>
      <c r="B494" t="s">
        <v>2423</v>
      </c>
      <c r="C494" t="s">
        <v>418</v>
      </c>
      <c r="D494" t="s">
        <v>16</v>
      </c>
      <c r="E494" t="s">
        <v>19</v>
      </c>
      <c r="F494" s="161" t="s">
        <v>3394</v>
      </c>
      <c r="G494" t="s">
        <v>2424</v>
      </c>
      <c r="H494" s="1" t="s">
        <v>3393</v>
      </c>
      <c r="I494" t="s">
        <v>2425</v>
      </c>
      <c r="K494" t="s">
        <v>2426</v>
      </c>
      <c r="L494" t="s">
        <v>612</v>
      </c>
      <c r="M494" t="s">
        <v>613</v>
      </c>
      <c r="N494" t="s">
        <v>618</v>
      </c>
      <c r="O494" s="155">
        <v>45151</v>
      </c>
    </row>
    <row r="495" spans="1:15" x14ac:dyDescent="0.25">
      <c r="A495" t="s">
        <v>2435</v>
      </c>
      <c r="B495" t="s">
        <v>2436</v>
      </c>
      <c r="C495" t="s">
        <v>2435</v>
      </c>
      <c r="D495" t="s">
        <v>16</v>
      </c>
      <c r="F495" s="161" t="s">
        <v>3394</v>
      </c>
      <c r="G495" t="s">
        <v>819</v>
      </c>
      <c r="H495" s="1" t="s">
        <v>3393</v>
      </c>
      <c r="I495" t="s">
        <v>769</v>
      </c>
      <c r="K495" t="s">
        <v>2437</v>
      </c>
      <c r="L495" t="s">
        <v>612</v>
      </c>
      <c r="M495" t="s">
        <v>613</v>
      </c>
      <c r="N495" t="s">
        <v>655</v>
      </c>
    </row>
    <row r="496" spans="1:15" x14ac:dyDescent="0.25">
      <c r="A496" t="s">
        <v>2438</v>
      </c>
      <c r="B496" t="s">
        <v>2439</v>
      </c>
      <c r="C496" t="s">
        <v>2438</v>
      </c>
      <c r="D496" t="s">
        <v>16</v>
      </c>
      <c r="F496" s="161" t="s">
        <v>3394</v>
      </c>
      <c r="G496" t="s">
        <v>980</v>
      </c>
      <c r="H496" s="1" t="s">
        <v>3393</v>
      </c>
      <c r="I496" t="s">
        <v>1972</v>
      </c>
      <c r="K496" t="s">
        <v>2440</v>
      </c>
      <c r="L496" t="s">
        <v>612</v>
      </c>
      <c r="M496" t="s">
        <v>613</v>
      </c>
      <c r="N496" t="s">
        <v>655</v>
      </c>
    </row>
    <row r="497" spans="1:15" x14ac:dyDescent="0.25">
      <c r="A497" t="s">
        <v>2441</v>
      </c>
      <c r="B497" t="s">
        <v>2442</v>
      </c>
      <c r="C497" t="s">
        <v>2441</v>
      </c>
      <c r="D497" t="s">
        <v>16</v>
      </c>
      <c r="F497" s="161" t="s">
        <v>3394</v>
      </c>
      <c r="G497" t="s">
        <v>1368</v>
      </c>
      <c r="H497" s="1" t="s">
        <v>3393</v>
      </c>
      <c r="I497" t="s">
        <v>2443</v>
      </c>
      <c r="K497" t="s">
        <v>2444</v>
      </c>
      <c r="L497" t="s">
        <v>612</v>
      </c>
      <c r="M497" t="s">
        <v>613</v>
      </c>
      <c r="N497" t="s">
        <v>655</v>
      </c>
    </row>
    <row r="498" spans="1:15" x14ac:dyDescent="0.25">
      <c r="A498" t="s">
        <v>2449</v>
      </c>
      <c r="B498" t="s">
        <v>2450</v>
      </c>
      <c r="C498" t="s">
        <v>2449</v>
      </c>
      <c r="D498" t="s">
        <v>16</v>
      </c>
      <c r="F498" s="161" t="s">
        <v>3394</v>
      </c>
      <c r="H498" s="1" t="s">
        <v>3393</v>
      </c>
      <c r="L498" t="s">
        <v>612</v>
      </c>
      <c r="M498" t="s">
        <v>613</v>
      </c>
      <c r="N498" t="s">
        <v>655</v>
      </c>
    </row>
    <row r="499" spans="1:15" x14ac:dyDescent="0.25">
      <c r="A499" t="s">
        <v>537</v>
      </c>
      <c r="B499" t="s">
        <v>2455</v>
      </c>
      <c r="C499" t="s">
        <v>537</v>
      </c>
      <c r="D499" t="s">
        <v>16</v>
      </c>
      <c r="E499" t="s">
        <v>15</v>
      </c>
      <c r="F499" s="161" t="s">
        <v>3394</v>
      </c>
      <c r="G499" t="s">
        <v>2046</v>
      </c>
      <c r="H499" s="1" t="s">
        <v>3393</v>
      </c>
      <c r="I499" t="s">
        <v>2456</v>
      </c>
      <c r="K499" t="s">
        <v>2457</v>
      </c>
      <c r="L499" t="s">
        <v>612</v>
      </c>
      <c r="M499" t="s">
        <v>613</v>
      </c>
      <c r="N499" t="s">
        <v>655</v>
      </c>
      <c r="O499" s="155">
        <v>45151</v>
      </c>
    </row>
    <row r="500" spans="1:15" x14ac:dyDescent="0.25">
      <c r="A500" t="s">
        <v>2458</v>
      </c>
      <c r="B500" t="s">
        <v>2459</v>
      </c>
      <c r="C500" t="s">
        <v>2458</v>
      </c>
      <c r="D500" t="s">
        <v>16</v>
      </c>
      <c r="F500" s="161" t="s">
        <v>3394</v>
      </c>
      <c r="G500" t="s">
        <v>616</v>
      </c>
      <c r="H500" s="1" t="s">
        <v>3393</v>
      </c>
      <c r="I500" t="s">
        <v>1248</v>
      </c>
      <c r="L500" t="s">
        <v>612</v>
      </c>
      <c r="M500" t="s">
        <v>613</v>
      </c>
      <c r="N500" t="s">
        <v>618</v>
      </c>
    </row>
    <row r="501" spans="1:15" x14ac:dyDescent="0.25">
      <c r="A501" t="s">
        <v>2460</v>
      </c>
      <c r="B501" t="s">
        <v>2461</v>
      </c>
      <c r="C501" t="s">
        <v>2460</v>
      </c>
      <c r="D501" t="s">
        <v>16</v>
      </c>
      <c r="F501" s="161" t="s">
        <v>3394</v>
      </c>
      <c r="G501" t="s">
        <v>749</v>
      </c>
      <c r="H501" s="1" t="s">
        <v>3393</v>
      </c>
      <c r="I501" t="s">
        <v>2219</v>
      </c>
      <c r="K501" t="s">
        <v>2462</v>
      </c>
      <c r="L501" t="s">
        <v>612</v>
      </c>
      <c r="M501" t="s">
        <v>613</v>
      </c>
      <c r="N501" t="s">
        <v>618</v>
      </c>
    </row>
    <row r="502" spans="1:15" x14ac:dyDescent="0.25">
      <c r="A502" t="s">
        <v>2463</v>
      </c>
      <c r="B502" t="s">
        <v>2464</v>
      </c>
      <c r="C502" t="s">
        <v>2463</v>
      </c>
      <c r="D502" t="s">
        <v>16</v>
      </c>
      <c r="F502" s="161" t="s">
        <v>3394</v>
      </c>
      <c r="G502" t="s">
        <v>2465</v>
      </c>
      <c r="H502" s="1" t="s">
        <v>3393</v>
      </c>
      <c r="I502" t="s">
        <v>791</v>
      </c>
      <c r="K502" t="s">
        <v>2466</v>
      </c>
      <c r="L502" t="s">
        <v>612</v>
      </c>
      <c r="M502" t="s">
        <v>613</v>
      </c>
      <c r="N502" t="s">
        <v>618</v>
      </c>
    </row>
    <row r="503" spans="1:15" x14ac:dyDescent="0.25">
      <c r="A503" t="s">
        <v>80</v>
      </c>
      <c r="B503" t="s">
        <v>2471</v>
      </c>
      <c r="C503" t="s">
        <v>80</v>
      </c>
      <c r="D503" t="s">
        <v>16</v>
      </c>
      <c r="E503" t="s">
        <v>19</v>
      </c>
      <c r="F503" s="161" t="s">
        <v>3394</v>
      </c>
      <c r="G503" t="s">
        <v>616</v>
      </c>
      <c r="H503" s="1" t="s">
        <v>593</v>
      </c>
      <c r="I503" t="s">
        <v>2124</v>
      </c>
      <c r="K503" t="s">
        <v>2472</v>
      </c>
      <c r="L503" t="s">
        <v>612</v>
      </c>
      <c r="M503" t="s">
        <v>613</v>
      </c>
      <c r="N503" t="s">
        <v>618</v>
      </c>
      <c r="O503" s="155">
        <v>45705</v>
      </c>
    </row>
    <row r="504" spans="1:15" x14ac:dyDescent="0.25">
      <c r="A504" t="s">
        <v>2479</v>
      </c>
      <c r="B504" t="s">
        <v>2480</v>
      </c>
      <c r="C504" t="s">
        <v>2479</v>
      </c>
      <c r="D504" t="s">
        <v>16</v>
      </c>
      <c r="F504" s="161" t="s">
        <v>3394</v>
      </c>
      <c r="G504" t="s">
        <v>744</v>
      </c>
      <c r="H504" s="1" t="s">
        <v>3393</v>
      </c>
      <c r="I504" t="s">
        <v>1130</v>
      </c>
      <c r="L504" t="s">
        <v>612</v>
      </c>
      <c r="M504" t="s">
        <v>613</v>
      </c>
      <c r="N504" t="s">
        <v>618</v>
      </c>
    </row>
    <row r="505" spans="1:15" x14ac:dyDescent="0.25">
      <c r="A505" t="s">
        <v>557</v>
      </c>
      <c r="B505" t="s">
        <v>2481</v>
      </c>
      <c r="C505" t="s">
        <v>557</v>
      </c>
      <c r="D505" t="s">
        <v>16</v>
      </c>
      <c r="E505" t="s">
        <v>15</v>
      </c>
      <c r="F505" s="161" t="s">
        <v>3394</v>
      </c>
      <c r="G505" t="s">
        <v>744</v>
      </c>
      <c r="H505" s="1" t="s">
        <v>590</v>
      </c>
      <c r="I505" t="s">
        <v>796</v>
      </c>
      <c r="K505" t="s">
        <v>2482</v>
      </c>
      <c r="L505" t="s">
        <v>612</v>
      </c>
      <c r="M505" t="s">
        <v>613</v>
      </c>
      <c r="N505" t="s">
        <v>618</v>
      </c>
      <c r="O505" s="155">
        <v>45423</v>
      </c>
    </row>
    <row r="506" spans="1:15" x14ac:dyDescent="0.25">
      <c r="A506" t="s">
        <v>2483</v>
      </c>
      <c r="B506" t="s">
        <v>2484</v>
      </c>
      <c r="C506" t="s">
        <v>2483</v>
      </c>
      <c r="D506" t="s">
        <v>16</v>
      </c>
      <c r="F506" s="161" t="s">
        <v>3394</v>
      </c>
      <c r="G506" t="s">
        <v>700</v>
      </c>
      <c r="H506" s="1" t="s">
        <v>3393</v>
      </c>
      <c r="I506" t="s">
        <v>2485</v>
      </c>
      <c r="K506" t="s">
        <v>2486</v>
      </c>
      <c r="L506" t="s">
        <v>612</v>
      </c>
      <c r="M506" t="s">
        <v>613</v>
      </c>
      <c r="N506" t="s">
        <v>618</v>
      </c>
    </row>
    <row r="507" spans="1:15" x14ac:dyDescent="0.25">
      <c r="A507" t="s">
        <v>2487</v>
      </c>
      <c r="B507" t="s">
        <v>2488</v>
      </c>
      <c r="C507" t="s">
        <v>2487</v>
      </c>
      <c r="D507" t="s">
        <v>16</v>
      </c>
      <c r="F507" s="161" t="s">
        <v>3394</v>
      </c>
      <c r="G507" t="s">
        <v>744</v>
      </c>
      <c r="H507" s="1" t="s">
        <v>3393</v>
      </c>
      <c r="I507" t="s">
        <v>641</v>
      </c>
      <c r="K507" t="s">
        <v>2489</v>
      </c>
      <c r="L507" t="s">
        <v>612</v>
      </c>
      <c r="M507" t="s">
        <v>613</v>
      </c>
      <c r="N507" t="s">
        <v>618</v>
      </c>
    </row>
    <row r="508" spans="1:15" x14ac:dyDescent="0.25">
      <c r="A508" t="s">
        <v>2490</v>
      </c>
      <c r="B508" t="s">
        <v>2491</v>
      </c>
      <c r="C508" t="s">
        <v>2490</v>
      </c>
      <c r="D508" t="s">
        <v>16</v>
      </c>
      <c r="F508" s="161" t="s">
        <v>3394</v>
      </c>
      <c r="G508" t="s">
        <v>102</v>
      </c>
      <c r="H508" s="1" t="s">
        <v>3393</v>
      </c>
      <c r="I508" t="s">
        <v>1447</v>
      </c>
      <c r="L508" t="s">
        <v>612</v>
      </c>
      <c r="M508" t="s">
        <v>613</v>
      </c>
      <c r="N508" t="s">
        <v>655</v>
      </c>
    </row>
    <row r="509" spans="1:15" x14ac:dyDescent="0.25">
      <c r="A509" t="s">
        <v>2494</v>
      </c>
      <c r="B509" t="s">
        <v>2495</v>
      </c>
      <c r="C509" t="s">
        <v>2494</v>
      </c>
      <c r="D509" t="s">
        <v>16</v>
      </c>
      <c r="F509" s="161" t="s">
        <v>3394</v>
      </c>
      <c r="G509" t="s">
        <v>744</v>
      </c>
      <c r="H509" s="1" t="s">
        <v>3393</v>
      </c>
      <c r="I509" t="s">
        <v>679</v>
      </c>
      <c r="K509" t="s">
        <v>2496</v>
      </c>
      <c r="L509" t="s">
        <v>612</v>
      </c>
      <c r="M509" t="s">
        <v>613</v>
      </c>
      <c r="N509" t="s">
        <v>618</v>
      </c>
    </row>
    <row r="510" spans="1:15" x14ac:dyDescent="0.25">
      <c r="A510" t="s">
        <v>2497</v>
      </c>
      <c r="B510" t="s">
        <v>2498</v>
      </c>
      <c r="C510" t="s">
        <v>2497</v>
      </c>
      <c r="D510" t="s">
        <v>16</v>
      </c>
      <c r="F510" s="161" t="s">
        <v>3394</v>
      </c>
      <c r="G510" t="s">
        <v>703</v>
      </c>
      <c r="H510" s="1" t="s">
        <v>3393</v>
      </c>
      <c r="I510" t="s">
        <v>2499</v>
      </c>
      <c r="K510" t="s">
        <v>2500</v>
      </c>
      <c r="L510" t="s">
        <v>612</v>
      </c>
      <c r="M510" t="s">
        <v>613</v>
      </c>
      <c r="N510" t="s">
        <v>618</v>
      </c>
    </row>
    <row r="511" spans="1:15" x14ac:dyDescent="0.25">
      <c r="A511" t="s">
        <v>2501</v>
      </c>
      <c r="B511" t="s">
        <v>2502</v>
      </c>
      <c r="C511" t="s">
        <v>2501</v>
      </c>
      <c r="D511" t="s">
        <v>16</v>
      </c>
      <c r="F511" s="161" t="s">
        <v>3394</v>
      </c>
      <c r="G511" t="s">
        <v>67</v>
      </c>
      <c r="H511" s="1" t="s">
        <v>3393</v>
      </c>
      <c r="I511" t="s">
        <v>1250</v>
      </c>
      <c r="K511" t="s">
        <v>2503</v>
      </c>
      <c r="L511" t="s">
        <v>612</v>
      </c>
      <c r="M511" t="s">
        <v>613</v>
      </c>
      <c r="N511" t="s">
        <v>655</v>
      </c>
    </row>
    <row r="512" spans="1:15" x14ac:dyDescent="0.25">
      <c r="A512" t="s">
        <v>115</v>
      </c>
      <c r="B512" t="s">
        <v>2504</v>
      </c>
      <c r="C512" t="s">
        <v>115</v>
      </c>
      <c r="D512" t="s">
        <v>16</v>
      </c>
      <c r="E512" t="s">
        <v>15</v>
      </c>
      <c r="F512" s="161" t="s">
        <v>3394</v>
      </c>
      <c r="G512" t="s">
        <v>2340</v>
      </c>
      <c r="H512" s="1" t="s">
        <v>3393</v>
      </c>
      <c r="I512" t="s">
        <v>2505</v>
      </c>
      <c r="L512" t="s">
        <v>612</v>
      </c>
      <c r="M512" t="s">
        <v>613</v>
      </c>
      <c r="N512" t="s">
        <v>655</v>
      </c>
      <c r="O512" s="155">
        <v>46104</v>
      </c>
    </row>
    <row r="513" spans="1:15" x14ac:dyDescent="0.25">
      <c r="A513" t="s">
        <v>2510</v>
      </c>
      <c r="B513" t="s">
        <v>2511</v>
      </c>
      <c r="C513" t="s">
        <v>2510</v>
      </c>
      <c r="D513" t="s">
        <v>16</v>
      </c>
      <c r="F513" s="161" t="s">
        <v>3394</v>
      </c>
      <c r="G513" t="s">
        <v>775</v>
      </c>
      <c r="H513" s="1" t="s">
        <v>3393</v>
      </c>
      <c r="I513" t="s">
        <v>769</v>
      </c>
      <c r="K513" t="s">
        <v>2512</v>
      </c>
      <c r="L513" t="s">
        <v>612</v>
      </c>
      <c r="M513" t="s">
        <v>613</v>
      </c>
      <c r="N513" t="s">
        <v>655</v>
      </c>
    </row>
    <row r="514" spans="1:15" x14ac:dyDescent="0.25">
      <c r="A514" t="s">
        <v>453</v>
      </c>
      <c r="B514" t="s">
        <v>2517</v>
      </c>
      <c r="C514" t="s">
        <v>453</v>
      </c>
      <c r="D514" t="s">
        <v>16</v>
      </c>
      <c r="E514" t="s">
        <v>15</v>
      </c>
      <c r="F514" s="161" t="s">
        <v>3394</v>
      </c>
      <c r="G514" t="s">
        <v>876</v>
      </c>
      <c r="H514" s="1" t="s">
        <v>594</v>
      </c>
      <c r="I514" t="s">
        <v>1257</v>
      </c>
      <c r="K514" t="s">
        <v>2518</v>
      </c>
      <c r="L514" t="s">
        <v>612</v>
      </c>
      <c r="M514" t="s">
        <v>613</v>
      </c>
      <c r="N514" t="s">
        <v>618</v>
      </c>
      <c r="O514" s="155">
        <v>45812</v>
      </c>
    </row>
    <row r="515" spans="1:15" x14ac:dyDescent="0.25">
      <c r="A515" t="s">
        <v>2519</v>
      </c>
      <c r="B515" t="s">
        <v>2520</v>
      </c>
      <c r="C515" t="s">
        <v>2519</v>
      </c>
      <c r="D515" t="s">
        <v>16</v>
      </c>
      <c r="F515" s="161" t="s">
        <v>3394</v>
      </c>
      <c r="G515" t="s">
        <v>616</v>
      </c>
      <c r="H515" s="1" t="s">
        <v>3393</v>
      </c>
      <c r="I515" t="s">
        <v>2074</v>
      </c>
      <c r="L515" t="s">
        <v>612</v>
      </c>
      <c r="M515" t="s">
        <v>613</v>
      </c>
      <c r="N515" t="s">
        <v>618</v>
      </c>
    </row>
    <row r="516" spans="1:15" x14ac:dyDescent="0.25">
      <c r="A516" t="s">
        <v>2521</v>
      </c>
      <c r="B516" t="s">
        <v>2522</v>
      </c>
      <c r="C516" t="s">
        <v>2521</v>
      </c>
      <c r="D516" t="s">
        <v>16</v>
      </c>
      <c r="F516" s="161" t="s">
        <v>3394</v>
      </c>
      <c r="G516" t="s">
        <v>640</v>
      </c>
      <c r="H516" s="1" t="s">
        <v>3393</v>
      </c>
      <c r="I516" t="s">
        <v>2523</v>
      </c>
      <c r="K516" t="s">
        <v>2524</v>
      </c>
      <c r="L516" t="s">
        <v>612</v>
      </c>
      <c r="M516" t="s">
        <v>613</v>
      </c>
      <c r="N516" t="s">
        <v>618</v>
      </c>
    </row>
    <row r="517" spans="1:15" x14ac:dyDescent="0.25">
      <c r="A517" t="s">
        <v>2525</v>
      </c>
      <c r="B517" t="s">
        <v>2526</v>
      </c>
      <c r="C517" t="s">
        <v>2525</v>
      </c>
      <c r="D517" t="s">
        <v>16</v>
      </c>
      <c r="F517" s="161" t="s">
        <v>3394</v>
      </c>
      <c r="G517" t="s">
        <v>749</v>
      </c>
      <c r="H517" s="1" t="s">
        <v>3393</v>
      </c>
      <c r="I517" t="s">
        <v>2527</v>
      </c>
      <c r="K517" t="s">
        <v>2528</v>
      </c>
      <c r="L517" t="s">
        <v>612</v>
      </c>
      <c r="M517" t="s">
        <v>613</v>
      </c>
      <c r="N517" t="s">
        <v>618</v>
      </c>
    </row>
    <row r="518" spans="1:15" x14ac:dyDescent="0.25">
      <c r="A518" t="s">
        <v>192</v>
      </c>
      <c r="B518" t="s">
        <v>2529</v>
      </c>
      <c r="C518" t="s">
        <v>192</v>
      </c>
      <c r="D518" t="s">
        <v>16</v>
      </c>
      <c r="E518" t="s">
        <v>15</v>
      </c>
      <c r="F518" s="161" t="s">
        <v>3394</v>
      </c>
      <c r="G518" t="s">
        <v>168</v>
      </c>
      <c r="H518" s="1" t="s">
        <v>3393</v>
      </c>
      <c r="I518" t="s">
        <v>2530</v>
      </c>
      <c r="K518" t="s">
        <v>2531</v>
      </c>
      <c r="L518" t="s">
        <v>612</v>
      </c>
      <c r="M518" t="s">
        <v>613</v>
      </c>
      <c r="N518" t="s">
        <v>655</v>
      </c>
      <c r="O518" s="155">
        <v>44188</v>
      </c>
    </row>
    <row r="519" spans="1:15" x14ac:dyDescent="0.25">
      <c r="A519" t="s">
        <v>2538</v>
      </c>
      <c r="B519" t="s">
        <v>2539</v>
      </c>
      <c r="C519" t="s">
        <v>2538</v>
      </c>
      <c r="D519" t="s">
        <v>16</v>
      </c>
      <c r="F519" s="161" t="s">
        <v>3394</v>
      </c>
      <c r="G519" t="s">
        <v>102</v>
      </c>
      <c r="H519" s="1" t="s">
        <v>3393</v>
      </c>
      <c r="I519" t="s">
        <v>2540</v>
      </c>
      <c r="L519" t="s">
        <v>612</v>
      </c>
      <c r="M519" t="s">
        <v>613</v>
      </c>
      <c r="N519" t="s">
        <v>655</v>
      </c>
    </row>
    <row r="520" spans="1:15" x14ac:dyDescent="0.25">
      <c r="A520" t="s">
        <v>513</v>
      </c>
      <c r="B520" t="s">
        <v>2541</v>
      </c>
      <c r="C520" t="s">
        <v>513</v>
      </c>
      <c r="D520" t="s">
        <v>16</v>
      </c>
      <c r="E520" t="s">
        <v>15</v>
      </c>
      <c r="F520" s="161" t="s">
        <v>3394</v>
      </c>
      <c r="G520" t="s">
        <v>616</v>
      </c>
      <c r="H520" s="1" t="s">
        <v>593</v>
      </c>
      <c r="I520" t="s">
        <v>894</v>
      </c>
      <c r="L520" t="s">
        <v>612</v>
      </c>
      <c r="M520" t="s">
        <v>613</v>
      </c>
      <c r="N520" t="s">
        <v>618</v>
      </c>
      <c r="O520" s="155">
        <v>46195</v>
      </c>
    </row>
    <row r="521" spans="1:15" x14ac:dyDescent="0.25">
      <c r="A521" t="s">
        <v>2542</v>
      </c>
      <c r="B521" t="s">
        <v>2543</v>
      </c>
      <c r="C521" t="s">
        <v>2542</v>
      </c>
      <c r="D521" t="s">
        <v>16</v>
      </c>
      <c r="F521" s="161" t="s">
        <v>3394</v>
      </c>
      <c r="G521" t="s">
        <v>700</v>
      </c>
      <c r="H521" s="1" t="s">
        <v>3393</v>
      </c>
      <c r="I521" t="s">
        <v>2199</v>
      </c>
      <c r="K521" t="s">
        <v>2544</v>
      </c>
      <c r="L521" t="s">
        <v>612</v>
      </c>
      <c r="M521" t="s">
        <v>613</v>
      </c>
      <c r="N521" t="s">
        <v>618</v>
      </c>
    </row>
    <row r="522" spans="1:15" x14ac:dyDescent="0.25">
      <c r="A522" t="s">
        <v>2545</v>
      </c>
      <c r="B522" t="s">
        <v>2546</v>
      </c>
      <c r="C522" t="s">
        <v>2545</v>
      </c>
      <c r="D522" t="s">
        <v>16</v>
      </c>
      <c r="F522" s="161" t="s">
        <v>3394</v>
      </c>
      <c r="G522" t="s">
        <v>616</v>
      </c>
      <c r="H522" s="1" t="s">
        <v>3393</v>
      </c>
      <c r="I522" t="s">
        <v>1313</v>
      </c>
      <c r="K522" t="s">
        <v>2547</v>
      </c>
      <c r="L522" t="s">
        <v>612</v>
      </c>
      <c r="M522" t="s">
        <v>613</v>
      </c>
      <c r="N522" t="s">
        <v>618</v>
      </c>
    </row>
    <row r="523" spans="1:15" x14ac:dyDescent="0.25">
      <c r="A523" t="s">
        <v>108</v>
      </c>
      <c r="B523" t="s">
        <v>2548</v>
      </c>
      <c r="C523" t="s">
        <v>108</v>
      </c>
      <c r="D523" t="s">
        <v>16</v>
      </c>
      <c r="E523" t="s">
        <v>15</v>
      </c>
      <c r="F523" s="161" t="s">
        <v>3394</v>
      </c>
      <c r="G523" t="s">
        <v>616</v>
      </c>
      <c r="H523" s="1" t="s">
        <v>593</v>
      </c>
      <c r="I523" t="s">
        <v>721</v>
      </c>
      <c r="L523" t="s">
        <v>612</v>
      </c>
      <c r="M523" t="s">
        <v>613</v>
      </c>
      <c r="N523" t="s">
        <v>618</v>
      </c>
      <c r="O523" s="155">
        <v>45544</v>
      </c>
    </row>
    <row r="524" spans="1:15" x14ac:dyDescent="0.25">
      <c r="A524" t="s">
        <v>2552</v>
      </c>
      <c r="B524" t="s">
        <v>2553</v>
      </c>
      <c r="C524" t="s">
        <v>2552</v>
      </c>
      <c r="D524" t="s">
        <v>16</v>
      </c>
      <c r="F524" s="161" t="s">
        <v>3394</v>
      </c>
      <c r="G524" t="s">
        <v>744</v>
      </c>
      <c r="H524" s="1" t="s">
        <v>3393</v>
      </c>
      <c r="I524" t="s">
        <v>1214</v>
      </c>
      <c r="L524" t="s">
        <v>612</v>
      </c>
      <c r="M524" t="s">
        <v>613</v>
      </c>
      <c r="N524" t="s">
        <v>618</v>
      </c>
    </row>
    <row r="525" spans="1:15" x14ac:dyDescent="0.25">
      <c r="A525" t="s">
        <v>203</v>
      </c>
      <c r="B525" t="s">
        <v>2556</v>
      </c>
      <c r="C525" t="s">
        <v>203</v>
      </c>
      <c r="D525" t="s">
        <v>16</v>
      </c>
      <c r="E525" t="s">
        <v>15</v>
      </c>
      <c r="F525" s="161" t="s">
        <v>3394</v>
      </c>
      <c r="G525" t="s">
        <v>1849</v>
      </c>
      <c r="H525" s="1" t="s">
        <v>3393</v>
      </c>
      <c r="I525" t="s">
        <v>1343</v>
      </c>
      <c r="L525" t="s">
        <v>612</v>
      </c>
      <c r="M525" t="s">
        <v>613</v>
      </c>
      <c r="N525" t="s">
        <v>655</v>
      </c>
      <c r="O525" s="155">
        <v>46184</v>
      </c>
    </row>
    <row r="526" spans="1:15" x14ac:dyDescent="0.25">
      <c r="A526" t="s">
        <v>2557</v>
      </c>
      <c r="B526" t="s">
        <v>2558</v>
      </c>
      <c r="C526" t="s">
        <v>2557</v>
      </c>
      <c r="D526" t="s">
        <v>16</v>
      </c>
      <c r="F526" s="161" t="s">
        <v>3394</v>
      </c>
      <c r="G526" t="s">
        <v>703</v>
      </c>
      <c r="H526" s="1" t="s">
        <v>3393</v>
      </c>
      <c r="I526" t="s">
        <v>2336</v>
      </c>
      <c r="L526" t="s">
        <v>612</v>
      </c>
      <c r="M526" t="s">
        <v>613</v>
      </c>
      <c r="N526" t="s">
        <v>618</v>
      </c>
    </row>
    <row r="527" spans="1:15" x14ac:dyDescent="0.25">
      <c r="A527" t="s">
        <v>2563</v>
      </c>
      <c r="B527" t="s">
        <v>2564</v>
      </c>
      <c r="C527" t="s">
        <v>2563</v>
      </c>
      <c r="D527" t="s">
        <v>16</v>
      </c>
      <c r="F527" s="161" t="s">
        <v>3394</v>
      </c>
      <c r="G527" t="s">
        <v>749</v>
      </c>
      <c r="H527" s="1" t="s">
        <v>3393</v>
      </c>
      <c r="I527" t="s">
        <v>1369</v>
      </c>
      <c r="K527" t="s">
        <v>2565</v>
      </c>
      <c r="L527" t="s">
        <v>612</v>
      </c>
      <c r="M527" t="s">
        <v>613</v>
      </c>
      <c r="N527" t="s">
        <v>618</v>
      </c>
    </row>
    <row r="528" spans="1:15" x14ac:dyDescent="0.25">
      <c r="A528" t="s">
        <v>2566</v>
      </c>
      <c r="B528" t="s">
        <v>2567</v>
      </c>
      <c r="C528" t="s">
        <v>2566</v>
      </c>
      <c r="D528" t="s">
        <v>16</v>
      </c>
      <c r="F528" s="161" t="s">
        <v>3394</v>
      </c>
      <c r="G528" t="s">
        <v>749</v>
      </c>
      <c r="H528" s="1" t="s">
        <v>3393</v>
      </c>
      <c r="I528" t="s">
        <v>2568</v>
      </c>
      <c r="L528" t="s">
        <v>612</v>
      </c>
      <c r="M528" t="s">
        <v>613</v>
      </c>
      <c r="N528" t="s">
        <v>618</v>
      </c>
    </row>
    <row r="529" spans="1:15" x14ac:dyDescent="0.25">
      <c r="A529" t="s">
        <v>2569</v>
      </c>
      <c r="B529" t="s">
        <v>2570</v>
      </c>
      <c r="C529" t="s">
        <v>2569</v>
      </c>
      <c r="D529" t="s">
        <v>16</v>
      </c>
      <c r="F529" s="161" t="s">
        <v>3394</v>
      </c>
      <c r="G529" t="s">
        <v>752</v>
      </c>
      <c r="H529" s="1" t="s">
        <v>3393</v>
      </c>
      <c r="I529" t="s">
        <v>2571</v>
      </c>
      <c r="K529" t="s">
        <v>2572</v>
      </c>
      <c r="L529" t="s">
        <v>612</v>
      </c>
      <c r="M529" t="s">
        <v>613</v>
      </c>
      <c r="N529" t="s">
        <v>618</v>
      </c>
    </row>
    <row r="530" spans="1:15" x14ac:dyDescent="0.25">
      <c r="A530" t="s">
        <v>2573</v>
      </c>
      <c r="B530" t="s">
        <v>2574</v>
      </c>
      <c r="C530" t="s">
        <v>2573</v>
      </c>
      <c r="D530" t="s">
        <v>16</v>
      </c>
      <c r="F530" s="161" t="s">
        <v>3394</v>
      </c>
      <c r="G530" t="s">
        <v>744</v>
      </c>
      <c r="H530" s="1" t="s">
        <v>3393</v>
      </c>
      <c r="I530" t="s">
        <v>833</v>
      </c>
      <c r="K530" t="s">
        <v>2575</v>
      </c>
      <c r="L530" t="s">
        <v>612</v>
      </c>
      <c r="M530" t="s">
        <v>613</v>
      </c>
      <c r="N530" t="s">
        <v>618</v>
      </c>
    </row>
    <row r="531" spans="1:15" x14ac:dyDescent="0.25">
      <c r="A531" t="s">
        <v>2576</v>
      </c>
      <c r="B531" t="s">
        <v>2577</v>
      </c>
      <c r="C531" t="s">
        <v>2576</v>
      </c>
      <c r="D531" t="s">
        <v>16</v>
      </c>
      <c r="F531" s="161" t="s">
        <v>3394</v>
      </c>
      <c r="G531" t="s">
        <v>703</v>
      </c>
      <c r="H531" s="1" t="s">
        <v>3393</v>
      </c>
      <c r="I531" t="s">
        <v>2578</v>
      </c>
      <c r="K531" t="s">
        <v>2579</v>
      </c>
      <c r="L531" t="s">
        <v>612</v>
      </c>
      <c r="M531" t="s">
        <v>613</v>
      </c>
      <c r="N531" t="s">
        <v>618</v>
      </c>
    </row>
    <row r="532" spans="1:15" x14ac:dyDescent="0.25">
      <c r="A532" t="s">
        <v>2582</v>
      </c>
      <c r="B532" t="s">
        <v>2583</v>
      </c>
      <c r="C532" t="s">
        <v>2582</v>
      </c>
      <c r="D532" t="s">
        <v>16</v>
      </c>
      <c r="F532" s="161" t="s">
        <v>3394</v>
      </c>
      <c r="G532" t="s">
        <v>640</v>
      </c>
      <c r="H532" s="1" t="s">
        <v>3393</v>
      </c>
      <c r="I532" t="s">
        <v>2584</v>
      </c>
      <c r="K532" t="s">
        <v>2585</v>
      </c>
      <c r="L532" t="s">
        <v>612</v>
      </c>
      <c r="M532" t="s">
        <v>613</v>
      </c>
      <c r="N532" t="s">
        <v>618</v>
      </c>
    </row>
    <row r="533" spans="1:15" x14ac:dyDescent="0.25">
      <c r="A533" t="s">
        <v>140</v>
      </c>
      <c r="B533" t="s">
        <v>2588</v>
      </c>
      <c r="C533" t="s">
        <v>140</v>
      </c>
      <c r="D533" t="s">
        <v>16</v>
      </c>
      <c r="E533" t="s">
        <v>15</v>
      </c>
      <c r="F533" s="161" t="s">
        <v>3394</v>
      </c>
      <c r="G533" t="s">
        <v>768</v>
      </c>
      <c r="H533" s="1" t="s">
        <v>3393</v>
      </c>
      <c r="I533" t="s">
        <v>769</v>
      </c>
      <c r="K533" t="s">
        <v>2589</v>
      </c>
      <c r="L533" t="s">
        <v>612</v>
      </c>
      <c r="M533" t="s">
        <v>613</v>
      </c>
      <c r="N533" t="s">
        <v>655</v>
      </c>
      <c r="O533" s="155">
        <v>45575</v>
      </c>
    </row>
    <row r="534" spans="1:15" x14ac:dyDescent="0.25">
      <c r="A534" t="s">
        <v>2590</v>
      </c>
      <c r="B534" t="s">
        <v>2591</v>
      </c>
      <c r="C534" t="s">
        <v>2590</v>
      </c>
      <c r="D534" t="s">
        <v>16</v>
      </c>
      <c r="F534" s="161" t="s">
        <v>3394</v>
      </c>
      <c r="G534" t="s">
        <v>703</v>
      </c>
      <c r="H534" s="1" t="s">
        <v>3393</v>
      </c>
      <c r="I534" t="s">
        <v>2592</v>
      </c>
      <c r="K534" t="s">
        <v>2593</v>
      </c>
      <c r="L534" t="s">
        <v>612</v>
      </c>
      <c r="M534" t="s">
        <v>613</v>
      </c>
      <c r="N534" t="s">
        <v>618</v>
      </c>
    </row>
    <row r="535" spans="1:15" x14ac:dyDescent="0.25">
      <c r="A535" t="s">
        <v>2594</v>
      </c>
      <c r="B535" t="s">
        <v>2595</v>
      </c>
      <c r="C535" t="s">
        <v>2594</v>
      </c>
      <c r="D535" t="s">
        <v>16</v>
      </c>
      <c r="F535" s="161" t="s">
        <v>3394</v>
      </c>
      <c r="G535" t="s">
        <v>749</v>
      </c>
      <c r="H535" s="1" t="s">
        <v>3393</v>
      </c>
      <c r="I535" t="s">
        <v>1302</v>
      </c>
      <c r="K535" t="s">
        <v>2596</v>
      </c>
      <c r="L535" t="s">
        <v>612</v>
      </c>
      <c r="M535" t="s">
        <v>613</v>
      </c>
      <c r="N535" t="s">
        <v>618</v>
      </c>
    </row>
    <row r="536" spans="1:15" x14ac:dyDescent="0.25">
      <c r="A536" t="s">
        <v>2597</v>
      </c>
      <c r="B536" t="s">
        <v>2598</v>
      </c>
      <c r="C536" t="s">
        <v>2597</v>
      </c>
      <c r="D536" t="s">
        <v>16</v>
      </c>
      <c r="F536" s="161" t="s">
        <v>3394</v>
      </c>
      <c r="G536" t="s">
        <v>749</v>
      </c>
      <c r="H536" s="1" t="s">
        <v>3393</v>
      </c>
      <c r="I536" t="s">
        <v>2599</v>
      </c>
      <c r="K536" t="s">
        <v>2600</v>
      </c>
      <c r="L536" t="s">
        <v>612</v>
      </c>
      <c r="M536" t="s">
        <v>613</v>
      </c>
      <c r="N536" t="s">
        <v>618</v>
      </c>
    </row>
    <row r="537" spans="1:15" x14ac:dyDescent="0.25">
      <c r="A537" t="s">
        <v>391</v>
      </c>
      <c r="B537" t="s">
        <v>2601</v>
      </c>
      <c r="C537" t="s">
        <v>391</v>
      </c>
      <c r="D537" t="s">
        <v>16</v>
      </c>
      <c r="E537" t="s">
        <v>15</v>
      </c>
      <c r="F537" s="161" t="s">
        <v>3394</v>
      </c>
      <c r="G537" t="s">
        <v>1235</v>
      </c>
      <c r="H537" s="1" t="s">
        <v>111</v>
      </c>
      <c r="I537" t="s">
        <v>877</v>
      </c>
      <c r="K537" t="s">
        <v>2602</v>
      </c>
      <c r="L537" t="s">
        <v>612</v>
      </c>
      <c r="M537" t="s">
        <v>613</v>
      </c>
      <c r="N537" t="s">
        <v>618</v>
      </c>
      <c r="O537" s="155">
        <v>45619</v>
      </c>
    </row>
    <row r="538" spans="1:15" x14ac:dyDescent="0.25">
      <c r="A538" t="s">
        <v>337</v>
      </c>
      <c r="B538" t="s">
        <v>2603</v>
      </c>
      <c r="C538" t="s">
        <v>337</v>
      </c>
      <c r="D538" t="s">
        <v>16</v>
      </c>
      <c r="E538" t="s">
        <v>15</v>
      </c>
      <c r="F538" s="161" t="s">
        <v>3394</v>
      </c>
      <c r="G538" t="s">
        <v>768</v>
      </c>
      <c r="H538" s="1" t="s">
        <v>3393</v>
      </c>
      <c r="I538" t="s">
        <v>769</v>
      </c>
      <c r="K538" t="s">
        <v>2604</v>
      </c>
      <c r="L538" t="s">
        <v>612</v>
      </c>
      <c r="M538" t="s">
        <v>613</v>
      </c>
      <c r="N538" t="s">
        <v>655</v>
      </c>
      <c r="O538" s="155">
        <v>44665</v>
      </c>
    </row>
    <row r="539" spans="1:15" x14ac:dyDescent="0.25">
      <c r="A539" t="s">
        <v>70</v>
      </c>
      <c r="B539" t="s">
        <v>2605</v>
      </c>
      <c r="C539" t="s">
        <v>70</v>
      </c>
      <c r="D539" t="s">
        <v>16</v>
      </c>
      <c r="E539" t="s">
        <v>19</v>
      </c>
      <c r="F539" s="161" t="s">
        <v>3394</v>
      </c>
      <c r="G539" t="s">
        <v>67</v>
      </c>
      <c r="H539" s="1" t="s">
        <v>3393</v>
      </c>
      <c r="I539" t="s">
        <v>2606</v>
      </c>
      <c r="K539" t="s">
        <v>2607</v>
      </c>
      <c r="L539" t="s">
        <v>612</v>
      </c>
      <c r="M539" t="s">
        <v>613</v>
      </c>
      <c r="N539" t="s">
        <v>655</v>
      </c>
      <c r="O539" s="155" t="s">
        <v>72</v>
      </c>
    </row>
    <row r="540" spans="1:15" x14ac:dyDescent="0.25">
      <c r="A540" t="s">
        <v>552</v>
      </c>
      <c r="B540" t="s">
        <v>2608</v>
      </c>
      <c r="C540" t="s">
        <v>552</v>
      </c>
      <c r="D540" t="s">
        <v>16</v>
      </c>
      <c r="E540" t="s">
        <v>15</v>
      </c>
      <c r="F540" s="161" t="s">
        <v>3394</v>
      </c>
      <c r="G540" t="s">
        <v>752</v>
      </c>
      <c r="H540" s="1" t="s">
        <v>596</v>
      </c>
      <c r="I540" t="s">
        <v>1828</v>
      </c>
      <c r="K540" t="s">
        <v>2609</v>
      </c>
      <c r="L540" t="s">
        <v>612</v>
      </c>
      <c r="M540" t="s">
        <v>613</v>
      </c>
      <c r="N540" t="s">
        <v>618</v>
      </c>
      <c r="O540" s="155">
        <v>45343</v>
      </c>
    </row>
    <row r="541" spans="1:15" x14ac:dyDescent="0.25">
      <c r="A541" t="s">
        <v>346</v>
      </c>
      <c r="B541" t="s">
        <v>2610</v>
      </c>
      <c r="C541" t="s">
        <v>346</v>
      </c>
      <c r="D541" t="s">
        <v>16</v>
      </c>
      <c r="E541" t="s">
        <v>15</v>
      </c>
      <c r="F541" s="161" t="s">
        <v>3394</v>
      </c>
      <c r="G541" t="s">
        <v>2611</v>
      </c>
      <c r="H541" s="1" t="s">
        <v>3393</v>
      </c>
      <c r="I541" t="s">
        <v>769</v>
      </c>
      <c r="K541" t="s">
        <v>2612</v>
      </c>
      <c r="L541" t="s">
        <v>612</v>
      </c>
      <c r="M541" t="s">
        <v>613</v>
      </c>
      <c r="N541" t="s">
        <v>618</v>
      </c>
      <c r="O541" s="155">
        <v>45362</v>
      </c>
    </row>
    <row r="542" spans="1:15" x14ac:dyDescent="0.25">
      <c r="A542" t="s">
        <v>2613</v>
      </c>
      <c r="B542" t="s">
        <v>2614</v>
      </c>
      <c r="C542" t="s">
        <v>2613</v>
      </c>
      <c r="D542" t="s">
        <v>16</v>
      </c>
      <c r="F542" s="161" t="s">
        <v>3394</v>
      </c>
      <c r="G542" t="s">
        <v>744</v>
      </c>
      <c r="H542" s="1" t="s">
        <v>3393</v>
      </c>
      <c r="I542" t="s">
        <v>833</v>
      </c>
      <c r="K542" t="s">
        <v>2615</v>
      </c>
      <c r="L542" t="s">
        <v>612</v>
      </c>
      <c r="M542" t="s">
        <v>613</v>
      </c>
      <c r="N542" t="s">
        <v>618</v>
      </c>
    </row>
    <row r="543" spans="1:15" x14ac:dyDescent="0.25">
      <c r="A543" t="s">
        <v>178</v>
      </c>
      <c r="B543" t="s">
        <v>2619</v>
      </c>
      <c r="C543" t="s">
        <v>178</v>
      </c>
      <c r="D543" t="s">
        <v>16</v>
      </c>
      <c r="E543" t="s">
        <v>15</v>
      </c>
      <c r="F543" s="161" t="s">
        <v>3394</v>
      </c>
      <c r="G543" t="s">
        <v>168</v>
      </c>
      <c r="H543" s="1" t="s">
        <v>3393</v>
      </c>
      <c r="I543" t="s">
        <v>1870</v>
      </c>
      <c r="K543" t="s">
        <v>2620</v>
      </c>
      <c r="L543" t="s">
        <v>612</v>
      </c>
      <c r="M543" t="s">
        <v>613</v>
      </c>
      <c r="N543" t="s">
        <v>655</v>
      </c>
      <c r="O543" s="155">
        <v>45701</v>
      </c>
    </row>
    <row r="544" spans="1:15" x14ac:dyDescent="0.25">
      <c r="A544" t="s">
        <v>457</v>
      </c>
      <c r="B544" t="s">
        <v>2621</v>
      </c>
      <c r="C544" t="s">
        <v>457</v>
      </c>
      <c r="D544" t="s">
        <v>16</v>
      </c>
      <c r="E544" t="s">
        <v>15</v>
      </c>
      <c r="F544" s="161" t="s">
        <v>3394</v>
      </c>
      <c r="G544" t="s">
        <v>749</v>
      </c>
      <c r="H544" s="1" t="s">
        <v>594</v>
      </c>
      <c r="I544" t="s">
        <v>2622</v>
      </c>
      <c r="K544" t="s">
        <v>2623</v>
      </c>
      <c r="L544" t="s">
        <v>612</v>
      </c>
      <c r="M544" t="s">
        <v>613</v>
      </c>
      <c r="N544" t="s">
        <v>618</v>
      </c>
      <c r="O544" s="155">
        <v>45151</v>
      </c>
    </row>
    <row r="545" spans="1:15" x14ac:dyDescent="0.25">
      <c r="A545" t="s">
        <v>44</v>
      </c>
      <c r="B545" t="s">
        <v>2624</v>
      </c>
      <c r="C545" t="s">
        <v>44</v>
      </c>
      <c r="D545" t="s">
        <v>16</v>
      </c>
      <c r="E545" t="s">
        <v>19</v>
      </c>
      <c r="F545" s="161" t="s">
        <v>3394</v>
      </c>
      <c r="G545" t="s">
        <v>1190</v>
      </c>
      <c r="H545" s="1" t="s">
        <v>595</v>
      </c>
      <c r="I545" t="s">
        <v>1191</v>
      </c>
      <c r="K545" t="s">
        <v>2625</v>
      </c>
      <c r="L545" t="s">
        <v>612</v>
      </c>
      <c r="M545" t="s">
        <v>613</v>
      </c>
      <c r="N545" t="s">
        <v>618</v>
      </c>
      <c r="O545" s="155">
        <v>46113</v>
      </c>
    </row>
    <row r="546" spans="1:15" x14ac:dyDescent="0.25">
      <c r="A546" t="s">
        <v>2630</v>
      </c>
      <c r="B546" t="s">
        <v>2631</v>
      </c>
      <c r="C546" t="s">
        <v>2630</v>
      </c>
      <c r="D546" t="s">
        <v>16</v>
      </c>
      <c r="F546" s="161" t="s">
        <v>3394</v>
      </c>
      <c r="G546" t="s">
        <v>744</v>
      </c>
      <c r="H546" s="1" t="s">
        <v>3393</v>
      </c>
      <c r="I546" t="s">
        <v>2606</v>
      </c>
      <c r="K546" t="s">
        <v>2632</v>
      </c>
      <c r="L546" t="s">
        <v>612</v>
      </c>
      <c r="M546" t="s">
        <v>613</v>
      </c>
      <c r="N546" t="s">
        <v>618</v>
      </c>
    </row>
    <row r="547" spans="1:15" x14ac:dyDescent="0.25">
      <c r="A547" t="s">
        <v>48</v>
      </c>
      <c r="B547" t="s">
        <v>2637</v>
      </c>
      <c r="C547" t="s">
        <v>48</v>
      </c>
      <c r="D547" t="s">
        <v>16</v>
      </c>
      <c r="E547" t="s">
        <v>15</v>
      </c>
      <c r="F547" s="161" t="s">
        <v>3394</v>
      </c>
      <c r="G547" t="s">
        <v>616</v>
      </c>
      <c r="H547" s="1" t="s">
        <v>593</v>
      </c>
      <c r="I547" t="s">
        <v>2638</v>
      </c>
      <c r="K547" t="s">
        <v>2639</v>
      </c>
      <c r="L547" t="s">
        <v>612</v>
      </c>
      <c r="M547" t="s">
        <v>613</v>
      </c>
      <c r="N547" t="s">
        <v>618</v>
      </c>
      <c r="O547" s="155">
        <v>44281</v>
      </c>
    </row>
    <row r="548" spans="1:15" x14ac:dyDescent="0.25">
      <c r="A548" t="s">
        <v>475</v>
      </c>
      <c r="B548" t="s">
        <v>2640</v>
      </c>
      <c r="C548" t="s">
        <v>475</v>
      </c>
      <c r="D548" t="s">
        <v>16</v>
      </c>
      <c r="E548" t="s">
        <v>15</v>
      </c>
      <c r="F548" s="161" t="s">
        <v>3394</v>
      </c>
      <c r="G548" t="s">
        <v>640</v>
      </c>
      <c r="H548" s="1" t="s">
        <v>111</v>
      </c>
      <c r="I548" t="s">
        <v>2641</v>
      </c>
      <c r="K548" t="s">
        <v>2642</v>
      </c>
      <c r="L548" t="s">
        <v>612</v>
      </c>
      <c r="M548" t="s">
        <v>613</v>
      </c>
      <c r="N548" t="s">
        <v>618</v>
      </c>
      <c r="O548" s="155">
        <v>45588</v>
      </c>
    </row>
    <row r="549" spans="1:15" x14ac:dyDescent="0.25">
      <c r="A549" t="s">
        <v>524</v>
      </c>
      <c r="B549" t="s">
        <v>2643</v>
      </c>
      <c r="C549" t="s">
        <v>524</v>
      </c>
      <c r="D549" t="s">
        <v>16</v>
      </c>
      <c r="E549" t="s">
        <v>15</v>
      </c>
      <c r="F549" s="161" t="s">
        <v>3394</v>
      </c>
      <c r="G549" t="s">
        <v>925</v>
      </c>
      <c r="H549" s="1" t="s">
        <v>593</v>
      </c>
      <c r="I549" t="s">
        <v>1669</v>
      </c>
      <c r="K549" t="s">
        <v>2644</v>
      </c>
      <c r="L549" t="s">
        <v>612</v>
      </c>
      <c r="M549" t="s">
        <v>613</v>
      </c>
      <c r="N549" t="s">
        <v>618</v>
      </c>
      <c r="O549" s="155">
        <v>45151</v>
      </c>
    </row>
    <row r="550" spans="1:15" x14ac:dyDescent="0.25">
      <c r="A550" t="s">
        <v>2645</v>
      </c>
      <c r="B550" t="s">
        <v>2646</v>
      </c>
      <c r="C550" t="s">
        <v>2645</v>
      </c>
      <c r="D550" t="s">
        <v>16</v>
      </c>
      <c r="F550" s="161" t="s">
        <v>3394</v>
      </c>
      <c r="G550" t="s">
        <v>616</v>
      </c>
      <c r="H550" s="1" t="s">
        <v>3393</v>
      </c>
      <c r="I550" t="s">
        <v>2647</v>
      </c>
      <c r="K550" t="s">
        <v>2648</v>
      </c>
      <c r="L550" t="s">
        <v>612</v>
      </c>
      <c r="M550" t="s">
        <v>613</v>
      </c>
      <c r="N550" t="s">
        <v>618</v>
      </c>
    </row>
    <row r="551" spans="1:15" x14ac:dyDescent="0.25">
      <c r="A551" t="s">
        <v>369</v>
      </c>
      <c r="B551" t="s">
        <v>2649</v>
      </c>
      <c r="C551" t="s">
        <v>369</v>
      </c>
      <c r="D551" t="s">
        <v>16</v>
      </c>
      <c r="E551" t="s">
        <v>15</v>
      </c>
      <c r="F551" s="161" t="s">
        <v>3394</v>
      </c>
      <c r="G551" t="s">
        <v>752</v>
      </c>
      <c r="H551" s="1" t="s">
        <v>596</v>
      </c>
      <c r="I551" t="s">
        <v>2295</v>
      </c>
      <c r="K551" t="s">
        <v>2650</v>
      </c>
      <c r="L551" t="s">
        <v>612</v>
      </c>
      <c r="M551" t="s">
        <v>613</v>
      </c>
      <c r="N551" t="s">
        <v>618</v>
      </c>
      <c r="O551" s="155">
        <v>46148</v>
      </c>
    </row>
    <row r="552" spans="1:15" x14ac:dyDescent="0.25">
      <c r="A552" t="s">
        <v>523</v>
      </c>
      <c r="B552" t="s">
        <v>2655</v>
      </c>
      <c r="C552" t="s">
        <v>523</v>
      </c>
      <c r="D552" t="s">
        <v>16</v>
      </c>
      <c r="E552" t="s">
        <v>15</v>
      </c>
      <c r="F552" s="161" t="s">
        <v>3394</v>
      </c>
      <c r="G552" t="s">
        <v>925</v>
      </c>
      <c r="H552" s="1" t="s">
        <v>593</v>
      </c>
      <c r="I552" t="s">
        <v>1713</v>
      </c>
      <c r="K552" t="s">
        <v>2656</v>
      </c>
      <c r="L552" t="s">
        <v>612</v>
      </c>
      <c r="M552" t="s">
        <v>613</v>
      </c>
      <c r="N552" t="s">
        <v>618</v>
      </c>
      <c r="O552" s="155">
        <v>45151</v>
      </c>
    </row>
    <row r="553" spans="1:15" x14ac:dyDescent="0.25">
      <c r="A553" t="s">
        <v>419</v>
      </c>
      <c r="B553" t="s">
        <v>2660</v>
      </c>
      <c r="C553" t="s">
        <v>419</v>
      </c>
      <c r="D553" t="s">
        <v>16</v>
      </c>
      <c r="E553" t="s">
        <v>19</v>
      </c>
      <c r="F553" s="161" t="s">
        <v>3394</v>
      </c>
      <c r="G553" t="s">
        <v>616</v>
      </c>
      <c r="H553" s="1" t="s">
        <v>593</v>
      </c>
      <c r="I553" t="s">
        <v>919</v>
      </c>
      <c r="K553" t="s">
        <v>2661</v>
      </c>
      <c r="L553" t="s">
        <v>612</v>
      </c>
      <c r="M553" t="s">
        <v>613</v>
      </c>
      <c r="N553" t="s">
        <v>618</v>
      </c>
      <c r="O553" s="155">
        <v>45151</v>
      </c>
    </row>
    <row r="554" spans="1:15" x14ac:dyDescent="0.25">
      <c r="A554" t="s">
        <v>2662</v>
      </c>
      <c r="B554" t="s">
        <v>2663</v>
      </c>
      <c r="C554" t="s">
        <v>2662</v>
      </c>
      <c r="D554" t="s">
        <v>16</v>
      </c>
      <c r="F554" s="161" t="s">
        <v>3394</v>
      </c>
      <c r="G554" t="s">
        <v>744</v>
      </c>
      <c r="H554" s="1" t="s">
        <v>3393</v>
      </c>
      <c r="I554" t="s">
        <v>2664</v>
      </c>
      <c r="L554" t="s">
        <v>612</v>
      </c>
      <c r="M554" t="s">
        <v>613</v>
      </c>
      <c r="N554" t="s">
        <v>618</v>
      </c>
    </row>
    <row r="555" spans="1:15" x14ac:dyDescent="0.25">
      <c r="A555" t="s">
        <v>2665</v>
      </c>
      <c r="B555" t="s">
        <v>2666</v>
      </c>
      <c r="C555" t="s">
        <v>2665</v>
      </c>
      <c r="D555" t="s">
        <v>16</v>
      </c>
      <c r="F555" s="161" t="s">
        <v>3394</v>
      </c>
      <c r="G555" t="s">
        <v>752</v>
      </c>
      <c r="H555" s="1" t="s">
        <v>3393</v>
      </c>
      <c r="I555" t="s">
        <v>2667</v>
      </c>
      <c r="K555" t="s">
        <v>2668</v>
      </c>
      <c r="L555" t="s">
        <v>612</v>
      </c>
      <c r="M555" t="s">
        <v>613</v>
      </c>
      <c r="N555" t="s">
        <v>618</v>
      </c>
    </row>
    <row r="556" spans="1:15" x14ac:dyDescent="0.25">
      <c r="A556" t="s">
        <v>397</v>
      </c>
      <c r="B556" t="s">
        <v>2669</v>
      </c>
      <c r="C556" t="s">
        <v>397</v>
      </c>
      <c r="D556" t="s">
        <v>16</v>
      </c>
      <c r="E556" t="s">
        <v>15</v>
      </c>
      <c r="F556" s="161" t="s">
        <v>3394</v>
      </c>
      <c r="G556" t="s">
        <v>640</v>
      </c>
      <c r="H556" s="1" t="s">
        <v>111</v>
      </c>
      <c r="I556" t="s">
        <v>734</v>
      </c>
      <c r="L556" t="s">
        <v>612</v>
      </c>
      <c r="M556" t="s">
        <v>613</v>
      </c>
      <c r="N556" t="s">
        <v>618</v>
      </c>
      <c r="O556" s="155">
        <v>46083</v>
      </c>
    </row>
    <row r="557" spans="1:15" x14ac:dyDescent="0.25">
      <c r="A557" t="s">
        <v>2670</v>
      </c>
      <c r="B557" t="s">
        <v>2671</v>
      </c>
      <c r="C557" t="s">
        <v>2670</v>
      </c>
      <c r="D557" t="s">
        <v>16</v>
      </c>
      <c r="F557" s="161" t="s">
        <v>3394</v>
      </c>
      <c r="G557" t="s">
        <v>744</v>
      </c>
      <c r="H557" s="1" t="s">
        <v>3393</v>
      </c>
      <c r="I557" t="s">
        <v>2672</v>
      </c>
      <c r="K557" t="s">
        <v>2673</v>
      </c>
      <c r="L557" t="s">
        <v>612</v>
      </c>
      <c r="M557" t="s">
        <v>613</v>
      </c>
      <c r="N557" t="s">
        <v>618</v>
      </c>
    </row>
    <row r="558" spans="1:15" x14ac:dyDescent="0.25">
      <c r="A558" t="s">
        <v>2674</v>
      </c>
      <c r="B558" t="s">
        <v>2675</v>
      </c>
      <c r="C558" t="s">
        <v>2674</v>
      </c>
      <c r="D558" t="s">
        <v>16</v>
      </c>
      <c r="F558" s="161" t="s">
        <v>3394</v>
      </c>
      <c r="G558" t="s">
        <v>744</v>
      </c>
      <c r="H558" s="1" t="s">
        <v>3393</v>
      </c>
      <c r="I558" t="s">
        <v>641</v>
      </c>
      <c r="K558" t="s">
        <v>2676</v>
      </c>
      <c r="L558" t="s">
        <v>612</v>
      </c>
      <c r="M558" t="s">
        <v>613</v>
      </c>
      <c r="N558" t="s">
        <v>618</v>
      </c>
    </row>
    <row r="559" spans="1:15" x14ac:dyDescent="0.25">
      <c r="A559" t="s">
        <v>2677</v>
      </c>
      <c r="B559" t="s">
        <v>2678</v>
      </c>
      <c r="C559" t="s">
        <v>2677</v>
      </c>
      <c r="D559" t="s">
        <v>16</v>
      </c>
      <c r="F559" s="161" t="s">
        <v>3394</v>
      </c>
      <c r="G559" t="s">
        <v>640</v>
      </c>
      <c r="H559" s="1" t="s">
        <v>3393</v>
      </c>
      <c r="I559" t="s">
        <v>2672</v>
      </c>
      <c r="K559" t="s">
        <v>2679</v>
      </c>
      <c r="L559" t="s">
        <v>612</v>
      </c>
      <c r="M559" t="s">
        <v>613</v>
      </c>
      <c r="N559" t="s">
        <v>618</v>
      </c>
    </row>
    <row r="560" spans="1:15" x14ac:dyDescent="0.25">
      <c r="A560" t="s">
        <v>2680</v>
      </c>
      <c r="B560" t="s">
        <v>2681</v>
      </c>
      <c r="C560" t="s">
        <v>2680</v>
      </c>
      <c r="D560" t="s">
        <v>16</v>
      </c>
      <c r="F560" s="161" t="s">
        <v>3394</v>
      </c>
      <c r="G560" t="s">
        <v>749</v>
      </c>
      <c r="H560" s="1" t="s">
        <v>3393</v>
      </c>
      <c r="I560" t="s">
        <v>1271</v>
      </c>
      <c r="L560" t="s">
        <v>612</v>
      </c>
      <c r="M560" t="s">
        <v>613</v>
      </c>
      <c r="N560" t="s">
        <v>618</v>
      </c>
    </row>
    <row r="561" spans="1:15" x14ac:dyDescent="0.25">
      <c r="A561" t="s">
        <v>2682</v>
      </c>
      <c r="B561" t="s">
        <v>2683</v>
      </c>
      <c r="C561" t="s">
        <v>2682</v>
      </c>
      <c r="D561" t="s">
        <v>16</v>
      </c>
      <c r="F561" s="161" t="s">
        <v>3394</v>
      </c>
      <c r="H561" s="1" t="s">
        <v>3393</v>
      </c>
      <c r="K561" t="s">
        <v>2684</v>
      </c>
      <c r="L561" t="s">
        <v>612</v>
      </c>
      <c r="M561" t="s">
        <v>613</v>
      </c>
      <c r="N561" t="s">
        <v>618</v>
      </c>
    </row>
    <row r="562" spans="1:15" x14ac:dyDescent="0.25">
      <c r="A562" t="s">
        <v>2685</v>
      </c>
      <c r="B562" t="s">
        <v>2686</v>
      </c>
      <c r="C562" t="s">
        <v>2685</v>
      </c>
      <c r="D562" t="s">
        <v>16</v>
      </c>
      <c r="F562" s="161" t="s">
        <v>3394</v>
      </c>
      <c r="G562" t="s">
        <v>744</v>
      </c>
      <c r="H562" s="1" t="s">
        <v>3393</v>
      </c>
      <c r="I562" t="s">
        <v>2687</v>
      </c>
      <c r="K562" t="s">
        <v>2688</v>
      </c>
      <c r="L562" t="s">
        <v>612</v>
      </c>
      <c r="M562" t="s">
        <v>613</v>
      </c>
      <c r="N562" t="s">
        <v>618</v>
      </c>
    </row>
    <row r="563" spans="1:15" x14ac:dyDescent="0.25">
      <c r="A563" t="s">
        <v>2689</v>
      </c>
      <c r="B563" t="s">
        <v>2690</v>
      </c>
      <c r="C563" t="s">
        <v>2689</v>
      </c>
      <c r="D563" t="s">
        <v>16</v>
      </c>
      <c r="F563" s="161" t="s">
        <v>3394</v>
      </c>
      <c r="G563" t="s">
        <v>640</v>
      </c>
      <c r="H563" s="1" t="s">
        <v>3393</v>
      </c>
      <c r="I563" t="s">
        <v>2691</v>
      </c>
      <c r="K563" t="s">
        <v>2692</v>
      </c>
      <c r="L563" t="s">
        <v>612</v>
      </c>
      <c r="M563" t="s">
        <v>613</v>
      </c>
      <c r="N563" t="s">
        <v>618</v>
      </c>
    </row>
    <row r="564" spans="1:15" x14ac:dyDescent="0.25">
      <c r="A564" t="s">
        <v>193</v>
      </c>
      <c r="B564" t="s">
        <v>2693</v>
      </c>
      <c r="C564" t="s">
        <v>193</v>
      </c>
      <c r="D564" t="s">
        <v>16</v>
      </c>
      <c r="E564" t="s">
        <v>15</v>
      </c>
      <c r="F564" s="161" t="s">
        <v>3394</v>
      </c>
      <c r="G564" t="s">
        <v>168</v>
      </c>
      <c r="H564" s="1" t="s">
        <v>3393</v>
      </c>
      <c r="I564" t="s">
        <v>2694</v>
      </c>
      <c r="K564" t="s">
        <v>2695</v>
      </c>
      <c r="L564" t="s">
        <v>612</v>
      </c>
      <c r="M564" t="s">
        <v>613</v>
      </c>
      <c r="N564" t="s">
        <v>655</v>
      </c>
      <c r="O564" s="155">
        <v>44252</v>
      </c>
    </row>
    <row r="565" spans="1:15" x14ac:dyDescent="0.25">
      <c r="A565" t="s">
        <v>382</v>
      </c>
      <c r="B565" t="s">
        <v>2696</v>
      </c>
      <c r="C565" t="s">
        <v>382</v>
      </c>
      <c r="D565" t="s">
        <v>16</v>
      </c>
      <c r="E565" t="s">
        <v>15</v>
      </c>
      <c r="F565" s="161" t="s">
        <v>3394</v>
      </c>
      <c r="G565" t="s">
        <v>744</v>
      </c>
      <c r="H565" s="1" t="s">
        <v>590</v>
      </c>
      <c r="I565" t="s">
        <v>2171</v>
      </c>
      <c r="L565" t="s">
        <v>612</v>
      </c>
      <c r="M565" t="s">
        <v>613</v>
      </c>
      <c r="N565" t="s">
        <v>618</v>
      </c>
      <c r="O565" s="155">
        <v>46150</v>
      </c>
    </row>
    <row r="566" spans="1:15" x14ac:dyDescent="0.25">
      <c r="A566" t="s">
        <v>287</v>
      </c>
      <c r="B566" t="s">
        <v>2697</v>
      </c>
      <c r="C566" t="s">
        <v>287</v>
      </c>
      <c r="D566" t="s">
        <v>16</v>
      </c>
      <c r="E566" t="s">
        <v>15</v>
      </c>
      <c r="F566" s="161" t="s">
        <v>3394</v>
      </c>
      <c r="G566" t="s">
        <v>914</v>
      </c>
      <c r="H566" s="1" t="s">
        <v>3393</v>
      </c>
      <c r="I566" t="s">
        <v>769</v>
      </c>
      <c r="K566" t="s">
        <v>2698</v>
      </c>
      <c r="L566" t="s">
        <v>612</v>
      </c>
      <c r="M566" t="s">
        <v>613</v>
      </c>
      <c r="N566" t="s">
        <v>655</v>
      </c>
      <c r="O566" s="155">
        <v>43901</v>
      </c>
    </row>
    <row r="567" spans="1:15" x14ac:dyDescent="0.25">
      <c r="A567" t="s">
        <v>2703</v>
      </c>
      <c r="B567" t="s">
        <v>2704</v>
      </c>
      <c r="C567" t="s">
        <v>2703</v>
      </c>
      <c r="D567" t="s">
        <v>16</v>
      </c>
      <c r="F567" s="161" t="s">
        <v>3394</v>
      </c>
      <c r="G567" t="s">
        <v>840</v>
      </c>
      <c r="H567" s="1" t="s">
        <v>3393</v>
      </c>
      <c r="I567" t="s">
        <v>679</v>
      </c>
      <c r="K567" t="s">
        <v>2705</v>
      </c>
      <c r="L567" t="s">
        <v>612</v>
      </c>
      <c r="M567" t="s">
        <v>613</v>
      </c>
      <c r="N567" t="s">
        <v>618</v>
      </c>
    </row>
    <row r="568" spans="1:15" x14ac:dyDescent="0.25">
      <c r="A568" t="s">
        <v>2706</v>
      </c>
      <c r="B568" t="s">
        <v>2707</v>
      </c>
      <c r="C568" t="s">
        <v>2706</v>
      </c>
      <c r="D568" t="s">
        <v>16</v>
      </c>
      <c r="F568" s="161" t="s">
        <v>3394</v>
      </c>
      <c r="G568" t="s">
        <v>640</v>
      </c>
      <c r="H568" s="1" t="s">
        <v>3393</v>
      </c>
      <c r="I568" t="s">
        <v>1870</v>
      </c>
      <c r="K568" t="s">
        <v>2708</v>
      </c>
      <c r="L568" t="s">
        <v>612</v>
      </c>
      <c r="M568" t="s">
        <v>613</v>
      </c>
      <c r="N568" t="s">
        <v>618</v>
      </c>
    </row>
    <row r="569" spans="1:15" x14ac:dyDescent="0.25">
      <c r="A569" t="s">
        <v>370</v>
      </c>
      <c r="B569" t="s">
        <v>2712</v>
      </c>
      <c r="C569" t="s">
        <v>370</v>
      </c>
      <c r="D569" t="s">
        <v>16</v>
      </c>
      <c r="E569" t="s">
        <v>15</v>
      </c>
      <c r="F569" s="161" t="s">
        <v>3394</v>
      </c>
      <c r="G569" t="s">
        <v>1066</v>
      </c>
      <c r="H569" s="1" t="s">
        <v>596</v>
      </c>
      <c r="I569" t="s">
        <v>877</v>
      </c>
      <c r="K569" t="s">
        <v>2713</v>
      </c>
      <c r="L569" t="s">
        <v>612</v>
      </c>
      <c r="M569" t="s">
        <v>613</v>
      </c>
      <c r="N569" t="s">
        <v>618</v>
      </c>
      <c r="O569" s="155">
        <v>45698</v>
      </c>
    </row>
    <row r="570" spans="1:15" x14ac:dyDescent="0.25">
      <c r="A570" t="s">
        <v>468</v>
      </c>
      <c r="B570" t="s">
        <v>2714</v>
      </c>
      <c r="C570" t="s">
        <v>468</v>
      </c>
      <c r="D570" t="s">
        <v>16</v>
      </c>
      <c r="E570" t="s">
        <v>15</v>
      </c>
      <c r="F570" s="161" t="s">
        <v>3394</v>
      </c>
      <c r="G570" t="s">
        <v>752</v>
      </c>
      <c r="H570" s="1" t="s">
        <v>596</v>
      </c>
      <c r="I570" t="s">
        <v>2715</v>
      </c>
      <c r="L570" t="s">
        <v>612</v>
      </c>
      <c r="M570" t="s">
        <v>613</v>
      </c>
      <c r="N570" t="s">
        <v>618</v>
      </c>
      <c r="O570" s="155">
        <v>45905</v>
      </c>
    </row>
    <row r="571" spans="1:15" x14ac:dyDescent="0.25">
      <c r="A571" t="s">
        <v>194</v>
      </c>
      <c r="B571" t="s">
        <v>2717</v>
      </c>
      <c r="C571" t="s">
        <v>194</v>
      </c>
      <c r="D571" t="s">
        <v>16</v>
      </c>
      <c r="E571" t="s">
        <v>15</v>
      </c>
      <c r="F571" s="161" t="s">
        <v>3394</v>
      </c>
      <c r="G571" t="s">
        <v>716</v>
      </c>
      <c r="H571" s="1" t="s">
        <v>3393</v>
      </c>
      <c r="I571" t="s">
        <v>2718</v>
      </c>
      <c r="K571" t="s">
        <v>2719</v>
      </c>
      <c r="L571" t="s">
        <v>612</v>
      </c>
      <c r="M571" t="s">
        <v>613</v>
      </c>
      <c r="N571" t="s">
        <v>655</v>
      </c>
      <c r="O571" s="155">
        <v>42948</v>
      </c>
    </row>
    <row r="572" spans="1:15" x14ac:dyDescent="0.25">
      <c r="A572" t="s">
        <v>323</v>
      </c>
      <c r="B572" t="s">
        <v>2723</v>
      </c>
      <c r="C572" t="s">
        <v>323</v>
      </c>
      <c r="D572" t="s">
        <v>16</v>
      </c>
      <c r="E572" t="s">
        <v>15</v>
      </c>
      <c r="F572" s="161" t="s">
        <v>3394</v>
      </c>
      <c r="G572" t="s">
        <v>775</v>
      </c>
      <c r="H572" s="1" t="s">
        <v>3393</v>
      </c>
      <c r="I572" t="s">
        <v>769</v>
      </c>
      <c r="K572" t="s">
        <v>2724</v>
      </c>
      <c r="L572" t="s">
        <v>612</v>
      </c>
      <c r="M572" t="s">
        <v>613</v>
      </c>
      <c r="N572" t="s">
        <v>655</v>
      </c>
      <c r="O572" s="155">
        <v>0</v>
      </c>
    </row>
    <row r="573" spans="1:15" x14ac:dyDescent="0.25">
      <c r="A573" t="s">
        <v>395</v>
      </c>
      <c r="B573" t="s">
        <v>2728</v>
      </c>
      <c r="C573" t="s">
        <v>395</v>
      </c>
      <c r="D573" t="s">
        <v>16</v>
      </c>
      <c r="E573" t="s">
        <v>15</v>
      </c>
      <c r="F573" s="161" t="s">
        <v>3394</v>
      </c>
      <c r="G573" t="s">
        <v>640</v>
      </c>
      <c r="H573" s="1" t="s">
        <v>111</v>
      </c>
      <c r="I573" t="s">
        <v>2729</v>
      </c>
      <c r="L573" t="s">
        <v>612</v>
      </c>
      <c r="M573" t="s">
        <v>613</v>
      </c>
      <c r="N573" t="s">
        <v>618</v>
      </c>
      <c r="O573" s="155">
        <v>45908</v>
      </c>
    </row>
    <row r="574" spans="1:15" x14ac:dyDescent="0.25">
      <c r="A574" t="s">
        <v>2730</v>
      </c>
      <c r="B574" t="s">
        <v>2731</v>
      </c>
      <c r="C574" t="s">
        <v>2730</v>
      </c>
      <c r="D574" t="s">
        <v>16</v>
      </c>
      <c r="F574" s="161" t="s">
        <v>3394</v>
      </c>
      <c r="G574" t="s">
        <v>640</v>
      </c>
      <c r="H574" s="1" t="s">
        <v>3393</v>
      </c>
      <c r="I574" t="s">
        <v>2151</v>
      </c>
      <c r="K574" t="s">
        <v>2732</v>
      </c>
      <c r="L574" t="s">
        <v>612</v>
      </c>
      <c r="M574" t="s">
        <v>613</v>
      </c>
      <c r="N574" t="s">
        <v>618</v>
      </c>
    </row>
    <row r="575" spans="1:15" x14ac:dyDescent="0.25">
      <c r="A575" t="s">
        <v>559</v>
      </c>
      <c r="B575" t="s">
        <v>2735</v>
      </c>
      <c r="C575" t="s">
        <v>559</v>
      </c>
      <c r="D575" t="s">
        <v>16</v>
      </c>
      <c r="E575" t="s">
        <v>15</v>
      </c>
      <c r="F575" s="161" t="s">
        <v>3394</v>
      </c>
      <c r="G575" t="s">
        <v>749</v>
      </c>
      <c r="H575" s="1" t="s">
        <v>594</v>
      </c>
      <c r="I575" t="s">
        <v>894</v>
      </c>
      <c r="K575" t="s">
        <v>2736</v>
      </c>
      <c r="L575" t="s">
        <v>612</v>
      </c>
      <c r="M575" t="s">
        <v>613</v>
      </c>
      <c r="N575" t="s">
        <v>618</v>
      </c>
      <c r="O575" s="155">
        <v>46195</v>
      </c>
    </row>
    <row r="576" spans="1:15" x14ac:dyDescent="0.25">
      <c r="A576" t="s">
        <v>110</v>
      </c>
      <c r="B576" t="s">
        <v>2737</v>
      </c>
      <c r="C576" t="s">
        <v>110</v>
      </c>
      <c r="D576" t="s">
        <v>16</v>
      </c>
      <c r="E576" t="s">
        <v>19</v>
      </c>
      <c r="F576" s="161" t="s">
        <v>3394</v>
      </c>
      <c r="G576" t="s">
        <v>640</v>
      </c>
      <c r="H576" s="1" t="s">
        <v>111</v>
      </c>
      <c r="I576" t="s">
        <v>2054</v>
      </c>
      <c r="K576" t="s">
        <v>2738</v>
      </c>
      <c r="L576" t="s">
        <v>612</v>
      </c>
      <c r="M576" t="s">
        <v>613</v>
      </c>
      <c r="N576" t="s">
        <v>618</v>
      </c>
      <c r="O576" s="155">
        <v>45696</v>
      </c>
    </row>
    <row r="577" spans="1:15" x14ac:dyDescent="0.25">
      <c r="A577" t="s">
        <v>336</v>
      </c>
      <c r="B577" t="s">
        <v>2749</v>
      </c>
      <c r="C577" t="s">
        <v>336</v>
      </c>
      <c r="D577" t="s">
        <v>16</v>
      </c>
      <c r="E577" t="s">
        <v>15</v>
      </c>
      <c r="F577" s="161" t="s">
        <v>3394</v>
      </c>
      <c r="G577" t="s">
        <v>768</v>
      </c>
      <c r="H577" s="1" t="s">
        <v>3393</v>
      </c>
      <c r="I577" t="s">
        <v>769</v>
      </c>
      <c r="L577" t="s">
        <v>612</v>
      </c>
      <c r="M577" t="s">
        <v>613</v>
      </c>
      <c r="N577" t="s">
        <v>655</v>
      </c>
      <c r="O577" s="155">
        <v>45968</v>
      </c>
    </row>
    <row r="578" spans="1:15" x14ac:dyDescent="0.25">
      <c r="A578" t="s">
        <v>2750</v>
      </c>
      <c r="B578" t="s">
        <v>2751</v>
      </c>
      <c r="C578" t="s">
        <v>2750</v>
      </c>
      <c r="D578" t="s">
        <v>16</v>
      </c>
      <c r="F578" s="161" t="s">
        <v>3394</v>
      </c>
      <c r="G578" t="s">
        <v>749</v>
      </c>
      <c r="H578" s="1" t="s">
        <v>3393</v>
      </c>
      <c r="I578" t="s">
        <v>2752</v>
      </c>
      <c r="K578" t="s">
        <v>2753</v>
      </c>
      <c r="L578" t="s">
        <v>612</v>
      </c>
      <c r="M578" t="s">
        <v>613</v>
      </c>
      <c r="N578" t="s">
        <v>618</v>
      </c>
    </row>
    <row r="579" spans="1:15" x14ac:dyDescent="0.25">
      <c r="A579" t="s">
        <v>487</v>
      </c>
      <c r="B579" t="s">
        <v>2754</v>
      </c>
      <c r="C579" t="s">
        <v>487</v>
      </c>
      <c r="D579" t="s">
        <v>16</v>
      </c>
      <c r="E579" t="s">
        <v>15</v>
      </c>
      <c r="F579" s="161" t="s">
        <v>3394</v>
      </c>
      <c r="G579" t="s">
        <v>744</v>
      </c>
      <c r="H579" s="1" t="s">
        <v>590</v>
      </c>
      <c r="I579" t="s">
        <v>2755</v>
      </c>
      <c r="L579" t="s">
        <v>612</v>
      </c>
      <c r="M579" t="s">
        <v>613</v>
      </c>
      <c r="N579" t="s">
        <v>618</v>
      </c>
      <c r="O579" s="155">
        <v>46155</v>
      </c>
    </row>
    <row r="580" spans="1:15" x14ac:dyDescent="0.25">
      <c r="A580" t="s">
        <v>2765</v>
      </c>
      <c r="B580" t="s">
        <v>2766</v>
      </c>
      <c r="C580" t="s">
        <v>2765</v>
      </c>
      <c r="D580" t="s">
        <v>16</v>
      </c>
      <c r="F580" s="161" t="s">
        <v>3394</v>
      </c>
      <c r="G580" t="s">
        <v>836</v>
      </c>
      <c r="H580" s="1" t="s">
        <v>3393</v>
      </c>
      <c r="I580" t="s">
        <v>2767</v>
      </c>
      <c r="K580" t="s">
        <v>2768</v>
      </c>
      <c r="L580" t="s">
        <v>612</v>
      </c>
      <c r="M580" t="s">
        <v>613</v>
      </c>
      <c r="N580" t="s">
        <v>655</v>
      </c>
    </row>
    <row r="581" spans="1:15" x14ac:dyDescent="0.25">
      <c r="A581" t="s">
        <v>406</v>
      </c>
      <c r="B581" t="s">
        <v>2769</v>
      </c>
      <c r="C581" t="s">
        <v>406</v>
      </c>
      <c r="D581" t="s">
        <v>16</v>
      </c>
      <c r="E581" t="s">
        <v>15</v>
      </c>
      <c r="F581" s="161" t="s">
        <v>3394</v>
      </c>
      <c r="G581" t="s">
        <v>752</v>
      </c>
      <c r="H581" s="1" t="s">
        <v>596</v>
      </c>
      <c r="I581" t="s">
        <v>704</v>
      </c>
      <c r="L581" t="s">
        <v>612</v>
      </c>
      <c r="M581" t="s">
        <v>613</v>
      </c>
      <c r="N581" t="s">
        <v>618</v>
      </c>
      <c r="O581" s="155">
        <v>46137</v>
      </c>
    </row>
    <row r="582" spans="1:15" x14ac:dyDescent="0.25">
      <c r="A582" t="s">
        <v>408</v>
      </c>
      <c r="B582" t="s">
        <v>2770</v>
      </c>
      <c r="C582" t="s">
        <v>408</v>
      </c>
      <c r="D582" t="s">
        <v>16</v>
      </c>
      <c r="E582" t="s">
        <v>15</v>
      </c>
      <c r="F582" s="161" t="s">
        <v>3394</v>
      </c>
      <c r="G582" t="s">
        <v>744</v>
      </c>
      <c r="H582" s="1" t="s">
        <v>590</v>
      </c>
      <c r="I582" t="s">
        <v>704</v>
      </c>
      <c r="L582" t="s">
        <v>612</v>
      </c>
      <c r="M582" t="s">
        <v>613</v>
      </c>
      <c r="N582" t="s">
        <v>618</v>
      </c>
      <c r="O582" s="155">
        <v>46128</v>
      </c>
    </row>
    <row r="583" spans="1:15" x14ac:dyDescent="0.25">
      <c r="A583" t="s">
        <v>579</v>
      </c>
      <c r="B583" t="s">
        <v>2771</v>
      </c>
      <c r="C583" t="s">
        <v>579</v>
      </c>
      <c r="D583" t="s">
        <v>16</v>
      </c>
      <c r="E583" t="s">
        <v>15</v>
      </c>
      <c r="F583" s="161" t="s">
        <v>3394</v>
      </c>
      <c r="G583" t="s">
        <v>1235</v>
      </c>
      <c r="H583" s="1" t="s">
        <v>111</v>
      </c>
      <c r="I583" t="s">
        <v>977</v>
      </c>
      <c r="K583" t="s">
        <v>2772</v>
      </c>
      <c r="L583" t="s">
        <v>612</v>
      </c>
      <c r="M583" t="s">
        <v>613</v>
      </c>
      <c r="N583" t="s">
        <v>618</v>
      </c>
      <c r="O583" s="155">
        <v>45939</v>
      </c>
    </row>
    <row r="584" spans="1:15" x14ac:dyDescent="0.25">
      <c r="A584" t="s">
        <v>2773</v>
      </c>
      <c r="B584" t="s">
        <v>2774</v>
      </c>
      <c r="C584" t="s">
        <v>2773</v>
      </c>
      <c r="D584" t="s">
        <v>16</v>
      </c>
      <c r="F584" s="161" t="s">
        <v>3394</v>
      </c>
      <c r="G584" t="s">
        <v>744</v>
      </c>
      <c r="H584" s="1" t="s">
        <v>3393</v>
      </c>
      <c r="I584" t="s">
        <v>2775</v>
      </c>
      <c r="K584" t="s">
        <v>2776</v>
      </c>
      <c r="L584" t="s">
        <v>612</v>
      </c>
      <c r="M584" t="s">
        <v>613</v>
      </c>
      <c r="N584" t="s">
        <v>618</v>
      </c>
    </row>
    <row r="585" spans="1:15" x14ac:dyDescent="0.25">
      <c r="A585" t="s">
        <v>2777</v>
      </c>
      <c r="B585" t="s">
        <v>2778</v>
      </c>
      <c r="C585" t="s">
        <v>2777</v>
      </c>
      <c r="D585" t="s">
        <v>16</v>
      </c>
      <c r="F585" s="161" t="s">
        <v>3394</v>
      </c>
      <c r="G585" t="s">
        <v>2779</v>
      </c>
      <c r="H585" s="1" t="s">
        <v>3393</v>
      </c>
      <c r="I585" t="s">
        <v>2780</v>
      </c>
      <c r="K585" t="s">
        <v>2781</v>
      </c>
      <c r="L585" t="s">
        <v>612</v>
      </c>
      <c r="M585" t="s">
        <v>613</v>
      </c>
      <c r="N585" t="s">
        <v>618</v>
      </c>
    </row>
    <row r="586" spans="1:15" x14ac:dyDescent="0.25">
      <c r="A586" t="s">
        <v>460</v>
      </c>
      <c r="B586" t="s">
        <v>2782</v>
      </c>
      <c r="C586" t="s">
        <v>460</v>
      </c>
      <c r="D586" t="s">
        <v>16</v>
      </c>
      <c r="E586" t="s">
        <v>15</v>
      </c>
      <c r="F586" s="161" t="s">
        <v>3394</v>
      </c>
      <c r="G586" t="s">
        <v>840</v>
      </c>
      <c r="H586" s="1" t="s">
        <v>594</v>
      </c>
      <c r="I586" t="s">
        <v>2783</v>
      </c>
      <c r="K586" t="s">
        <v>2784</v>
      </c>
      <c r="L586" t="s">
        <v>612</v>
      </c>
      <c r="M586" t="s">
        <v>613</v>
      </c>
      <c r="N586" t="s">
        <v>618</v>
      </c>
      <c r="O586" s="155">
        <v>45151</v>
      </c>
    </row>
    <row r="587" spans="1:15" x14ac:dyDescent="0.25">
      <c r="A587" t="s">
        <v>532</v>
      </c>
      <c r="B587" t="s">
        <v>2787</v>
      </c>
      <c r="C587" t="s">
        <v>532</v>
      </c>
      <c r="D587" t="s">
        <v>16</v>
      </c>
      <c r="E587" t="s">
        <v>15</v>
      </c>
      <c r="F587" s="161" t="s">
        <v>3394</v>
      </c>
      <c r="G587" t="s">
        <v>925</v>
      </c>
      <c r="H587" s="1" t="s">
        <v>593</v>
      </c>
      <c r="I587" t="s">
        <v>2788</v>
      </c>
      <c r="K587" t="s">
        <v>2789</v>
      </c>
      <c r="L587" t="s">
        <v>612</v>
      </c>
      <c r="M587" t="s">
        <v>613</v>
      </c>
      <c r="N587" t="s">
        <v>618</v>
      </c>
      <c r="O587" s="155">
        <v>45151</v>
      </c>
    </row>
    <row r="588" spans="1:15" x14ac:dyDescent="0.25">
      <c r="A588" t="s">
        <v>2794</v>
      </c>
      <c r="B588" t="s">
        <v>2795</v>
      </c>
      <c r="C588" t="s">
        <v>2794</v>
      </c>
      <c r="D588" t="s">
        <v>16</v>
      </c>
      <c r="F588" s="161" t="s">
        <v>3394</v>
      </c>
      <c r="G588" t="s">
        <v>836</v>
      </c>
      <c r="H588" s="1" t="s">
        <v>3393</v>
      </c>
      <c r="I588" t="s">
        <v>2796</v>
      </c>
      <c r="K588" t="s">
        <v>2797</v>
      </c>
      <c r="L588" t="s">
        <v>612</v>
      </c>
      <c r="M588" t="s">
        <v>613</v>
      </c>
      <c r="N588" t="s">
        <v>655</v>
      </c>
    </row>
    <row r="589" spans="1:15" x14ac:dyDescent="0.25">
      <c r="A589" t="s">
        <v>2798</v>
      </c>
      <c r="B589" t="s">
        <v>2799</v>
      </c>
      <c r="C589" t="s">
        <v>2798</v>
      </c>
      <c r="D589" t="s">
        <v>16</v>
      </c>
      <c r="F589" s="161" t="s">
        <v>3394</v>
      </c>
      <c r="G589" t="s">
        <v>1012</v>
      </c>
      <c r="H589" s="1" t="s">
        <v>3393</v>
      </c>
      <c r="I589" t="s">
        <v>894</v>
      </c>
      <c r="L589" t="s">
        <v>612</v>
      </c>
      <c r="M589" t="s">
        <v>613</v>
      </c>
      <c r="N589" t="s">
        <v>618</v>
      </c>
    </row>
    <row r="590" spans="1:15" x14ac:dyDescent="0.25">
      <c r="A590" t="s">
        <v>2800</v>
      </c>
      <c r="B590" t="s">
        <v>2801</v>
      </c>
      <c r="C590" t="s">
        <v>2800</v>
      </c>
      <c r="D590" t="s">
        <v>16</v>
      </c>
      <c r="F590" s="161" t="s">
        <v>3394</v>
      </c>
      <c r="G590" t="s">
        <v>621</v>
      </c>
      <c r="H590" s="1" t="s">
        <v>3393</v>
      </c>
      <c r="I590" t="s">
        <v>2802</v>
      </c>
      <c r="K590" t="s">
        <v>2803</v>
      </c>
      <c r="L590" t="s">
        <v>612</v>
      </c>
      <c r="M590" t="s">
        <v>613</v>
      </c>
      <c r="N590" t="s">
        <v>618</v>
      </c>
    </row>
    <row r="591" spans="1:15" x14ac:dyDescent="0.25">
      <c r="A591" t="s">
        <v>2804</v>
      </c>
      <c r="B591" t="s">
        <v>2805</v>
      </c>
      <c r="C591" t="s">
        <v>2804</v>
      </c>
      <c r="D591" t="s">
        <v>16</v>
      </c>
      <c r="F591" s="161" t="s">
        <v>3394</v>
      </c>
      <c r="G591" t="s">
        <v>768</v>
      </c>
      <c r="H591" s="1" t="s">
        <v>3393</v>
      </c>
      <c r="I591" t="s">
        <v>769</v>
      </c>
      <c r="K591" t="s">
        <v>2806</v>
      </c>
      <c r="L591" t="s">
        <v>612</v>
      </c>
      <c r="M591" t="s">
        <v>613</v>
      </c>
      <c r="N591" t="s">
        <v>655</v>
      </c>
    </row>
    <row r="592" spans="1:15" x14ac:dyDescent="0.25">
      <c r="A592" t="s">
        <v>2809</v>
      </c>
      <c r="B592" t="s">
        <v>2810</v>
      </c>
      <c r="C592" t="s">
        <v>2809</v>
      </c>
      <c r="D592" t="s">
        <v>16</v>
      </c>
      <c r="F592" s="161" t="s">
        <v>3394</v>
      </c>
      <c r="G592" t="s">
        <v>616</v>
      </c>
      <c r="H592" s="1" t="s">
        <v>3393</v>
      </c>
      <c r="I592" t="s">
        <v>2811</v>
      </c>
      <c r="K592" t="s">
        <v>2812</v>
      </c>
      <c r="L592" t="s">
        <v>612</v>
      </c>
      <c r="M592" t="s">
        <v>613</v>
      </c>
      <c r="N592" t="s">
        <v>618</v>
      </c>
    </row>
    <row r="593" spans="1:15" x14ac:dyDescent="0.25">
      <c r="A593" t="s">
        <v>2813</v>
      </c>
      <c r="B593" t="s">
        <v>2814</v>
      </c>
      <c r="C593" t="s">
        <v>2813</v>
      </c>
      <c r="D593" t="s">
        <v>16</v>
      </c>
      <c r="F593" s="161" t="s">
        <v>3394</v>
      </c>
      <c r="G593" t="s">
        <v>616</v>
      </c>
      <c r="H593" s="1" t="s">
        <v>3393</v>
      </c>
      <c r="I593" t="s">
        <v>2815</v>
      </c>
      <c r="K593" t="s">
        <v>2816</v>
      </c>
      <c r="L593" t="s">
        <v>612</v>
      </c>
      <c r="M593" t="s">
        <v>613</v>
      </c>
      <c r="N593" t="s">
        <v>618</v>
      </c>
    </row>
    <row r="594" spans="1:15" x14ac:dyDescent="0.25">
      <c r="A594" t="s">
        <v>482</v>
      </c>
      <c r="B594" t="s">
        <v>2817</v>
      </c>
      <c r="C594" t="s">
        <v>482</v>
      </c>
      <c r="D594" t="s">
        <v>16</v>
      </c>
      <c r="E594" t="s">
        <v>15</v>
      </c>
      <c r="F594" s="161" t="s">
        <v>3394</v>
      </c>
      <c r="G594" t="s">
        <v>700</v>
      </c>
      <c r="H594" s="1" t="s">
        <v>587</v>
      </c>
      <c r="I594" t="s">
        <v>2225</v>
      </c>
      <c r="K594" t="s">
        <v>2818</v>
      </c>
      <c r="L594" t="s">
        <v>612</v>
      </c>
      <c r="M594" t="s">
        <v>613</v>
      </c>
      <c r="N594" t="s">
        <v>618</v>
      </c>
      <c r="O594" s="155">
        <v>45713</v>
      </c>
    </row>
    <row r="595" spans="1:15" x14ac:dyDescent="0.25">
      <c r="A595" t="s">
        <v>2819</v>
      </c>
      <c r="B595" t="s">
        <v>2820</v>
      </c>
      <c r="C595" t="s">
        <v>2819</v>
      </c>
      <c r="D595" t="s">
        <v>16</v>
      </c>
      <c r="F595" s="161" t="s">
        <v>3394</v>
      </c>
      <c r="G595" t="s">
        <v>2821</v>
      </c>
      <c r="H595" s="1" t="s">
        <v>3393</v>
      </c>
      <c r="I595" t="s">
        <v>2822</v>
      </c>
      <c r="K595" t="s">
        <v>2823</v>
      </c>
      <c r="L595" t="s">
        <v>612</v>
      </c>
      <c r="M595" t="s">
        <v>613</v>
      </c>
      <c r="N595" t="s">
        <v>618</v>
      </c>
    </row>
    <row r="596" spans="1:15" x14ac:dyDescent="0.25">
      <c r="A596" t="s">
        <v>201</v>
      </c>
      <c r="B596" t="s">
        <v>2824</v>
      </c>
      <c r="C596" t="s">
        <v>201</v>
      </c>
      <c r="D596" t="s">
        <v>16</v>
      </c>
      <c r="E596" t="s">
        <v>15</v>
      </c>
      <c r="F596" s="161" t="s">
        <v>3394</v>
      </c>
      <c r="G596" t="s">
        <v>168</v>
      </c>
      <c r="H596" s="1" t="s">
        <v>3393</v>
      </c>
      <c r="I596" t="s">
        <v>2289</v>
      </c>
      <c r="K596" t="s">
        <v>2825</v>
      </c>
      <c r="L596" t="s">
        <v>612</v>
      </c>
      <c r="M596" t="s">
        <v>613</v>
      </c>
      <c r="N596" t="s">
        <v>655</v>
      </c>
      <c r="O596" s="155">
        <v>45762</v>
      </c>
    </row>
    <row r="597" spans="1:15" x14ac:dyDescent="0.25">
      <c r="A597" t="s">
        <v>101</v>
      </c>
      <c r="B597" t="s">
        <v>2826</v>
      </c>
      <c r="C597" t="s">
        <v>101</v>
      </c>
      <c r="D597" t="s">
        <v>16</v>
      </c>
      <c r="E597" t="s">
        <v>15</v>
      </c>
      <c r="F597" s="161" t="s">
        <v>3394</v>
      </c>
      <c r="G597" t="s">
        <v>914</v>
      </c>
      <c r="H597" s="1" t="s">
        <v>3393</v>
      </c>
      <c r="I597" t="s">
        <v>769</v>
      </c>
      <c r="K597" t="s">
        <v>2827</v>
      </c>
      <c r="L597" t="s">
        <v>612</v>
      </c>
      <c r="M597" t="s">
        <v>613</v>
      </c>
      <c r="N597" t="s">
        <v>655</v>
      </c>
      <c r="O597" s="155" t="s">
        <v>103</v>
      </c>
    </row>
    <row r="598" spans="1:15" x14ac:dyDescent="0.25">
      <c r="A598" t="s">
        <v>350</v>
      </c>
      <c r="B598" t="s">
        <v>2828</v>
      </c>
      <c r="C598" t="s">
        <v>350</v>
      </c>
      <c r="D598" t="s">
        <v>16</v>
      </c>
      <c r="E598" t="s">
        <v>15</v>
      </c>
      <c r="F598" s="161" t="s">
        <v>3394</v>
      </c>
      <c r="G598" t="s">
        <v>768</v>
      </c>
      <c r="H598" s="1" t="s">
        <v>3393</v>
      </c>
      <c r="I598" t="s">
        <v>769</v>
      </c>
      <c r="K598" t="s">
        <v>2829</v>
      </c>
      <c r="L598" t="s">
        <v>612</v>
      </c>
      <c r="M598" t="s">
        <v>613</v>
      </c>
      <c r="N598" t="s">
        <v>655</v>
      </c>
      <c r="O598" s="155">
        <v>0</v>
      </c>
    </row>
    <row r="599" spans="1:15" x14ac:dyDescent="0.25">
      <c r="A599" t="s">
        <v>132</v>
      </c>
      <c r="B599" t="s">
        <v>2830</v>
      </c>
      <c r="C599" t="s">
        <v>132</v>
      </c>
      <c r="D599" t="s">
        <v>16</v>
      </c>
      <c r="E599" t="s">
        <v>19</v>
      </c>
      <c r="F599" s="161" t="s">
        <v>3394</v>
      </c>
      <c r="G599" t="s">
        <v>700</v>
      </c>
      <c r="H599" s="1" t="s">
        <v>587</v>
      </c>
      <c r="I599" t="s">
        <v>2831</v>
      </c>
      <c r="K599" t="s">
        <v>2832</v>
      </c>
      <c r="L599" t="s">
        <v>612</v>
      </c>
      <c r="M599" t="s">
        <v>613</v>
      </c>
      <c r="N599" t="s">
        <v>618</v>
      </c>
      <c r="O599" s="155">
        <v>45609</v>
      </c>
    </row>
    <row r="600" spans="1:15" x14ac:dyDescent="0.25">
      <c r="A600" t="s">
        <v>2833</v>
      </c>
      <c r="B600" t="s">
        <v>2834</v>
      </c>
      <c r="C600" t="s">
        <v>2833</v>
      </c>
      <c r="D600" t="s">
        <v>16</v>
      </c>
      <c r="F600" s="161" t="s">
        <v>3394</v>
      </c>
      <c r="G600" t="s">
        <v>616</v>
      </c>
      <c r="H600" s="1" t="s">
        <v>3393</v>
      </c>
      <c r="I600" t="s">
        <v>2094</v>
      </c>
      <c r="K600" t="s">
        <v>2835</v>
      </c>
      <c r="L600" t="s">
        <v>612</v>
      </c>
      <c r="M600" t="s">
        <v>613</v>
      </c>
      <c r="N600" t="s">
        <v>618</v>
      </c>
    </row>
    <row r="601" spans="1:15" x14ac:dyDescent="0.25">
      <c r="A601" t="s">
        <v>2836</v>
      </c>
      <c r="B601" t="s">
        <v>2837</v>
      </c>
      <c r="C601" t="s">
        <v>2836</v>
      </c>
      <c r="D601" t="s">
        <v>16</v>
      </c>
      <c r="F601" s="161" t="s">
        <v>3394</v>
      </c>
      <c r="G601" t="s">
        <v>616</v>
      </c>
      <c r="H601" s="1" t="s">
        <v>3393</v>
      </c>
      <c r="I601" t="s">
        <v>617</v>
      </c>
      <c r="L601" t="s">
        <v>612</v>
      </c>
      <c r="M601" t="s">
        <v>613</v>
      </c>
      <c r="N601" t="s">
        <v>618</v>
      </c>
    </row>
    <row r="602" spans="1:15" x14ac:dyDescent="0.25">
      <c r="A602" t="s">
        <v>433</v>
      </c>
      <c r="B602" t="s">
        <v>2838</v>
      </c>
      <c r="C602" t="s">
        <v>433</v>
      </c>
      <c r="D602" t="s">
        <v>16</v>
      </c>
      <c r="E602" t="s">
        <v>19</v>
      </c>
      <c r="F602" s="161" t="s">
        <v>3394</v>
      </c>
      <c r="G602" t="s">
        <v>700</v>
      </c>
      <c r="H602" s="1" t="s">
        <v>587</v>
      </c>
      <c r="I602" t="s">
        <v>2839</v>
      </c>
      <c r="K602" t="s">
        <v>2840</v>
      </c>
      <c r="L602" t="s">
        <v>612</v>
      </c>
      <c r="M602" t="s">
        <v>613</v>
      </c>
      <c r="N602" t="s">
        <v>618</v>
      </c>
      <c r="O602" s="155">
        <v>45151</v>
      </c>
    </row>
    <row r="603" spans="1:15" x14ac:dyDescent="0.25">
      <c r="A603" t="s">
        <v>2841</v>
      </c>
      <c r="B603" t="s">
        <v>2842</v>
      </c>
      <c r="C603" t="s">
        <v>2841</v>
      </c>
      <c r="D603" t="s">
        <v>16</v>
      </c>
      <c r="F603" s="161" t="s">
        <v>3394</v>
      </c>
      <c r="G603" t="s">
        <v>1368</v>
      </c>
      <c r="H603" s="1" t="s">
        <v>3393</v>
      </c>
      <c r="I603" t="s">
        <v>2715</v>
      </c>
      <c r="L603" t="s">
        <v>612</v>
      </c>
      <c r="M603" t="s">
        <v>613</v>
      </c>
      <c r="N603" t="s">
        <v>655</v>
      </c>
    </row>
    <row r="604" spans="1:15" x14ac:dyDescent="0.25">
      <c r="A604" t="s">
        <v>153</v>
      </c>
      <c r="B604" t="s">
        <v>2843</v>
      </c>
      <c r="C604" t="s">
        <v>153</v>
      </c>
      <c r="D604" t="s">
        <v>16</v>
      </c>
      <c r="E604" t="s">
        <v>15</v>
      </c>
      <c r="F604" s="161" t="s">
        <v>3394</v>
      </c>
      <c r="G604" t="s">
        <v>1603</v>
      </c>
      <c r="H604" s="1" t="s">
        <v>3393</v>
      </c>
      <c r="I604" t="s">
        <v>2070</v>
      </c>
      <c r="K604" t="s">
        <v>2844</v>
      </c>
      <c r="L604" t="s">
        <v>612</v>
      </c>
      <c r="M604" t="s">
        <v>613</v>
      </c>
      <c r="N604" t="s">
        <v>618</v>
      </c>
      <c r="O604" s="155">
        <v>44971</v>
      </c>
    </row>
    <row r="605" spans="1:15" x14ac:dyDescent="0.25">
      <c r="A605" t="s">
        <v>2845</v>
      </c>
      <c r="B605" t="s">
        <v>2846</v>
      </c>
      <c r="C605" t="s">
        <v>2845</v>
      </c>
      <c r="D605" t="s">
        <v>16</v>
      </c>
      <c r="F605" s="161" t="s">
        <v>3394</v>
      </c>
      <c r="G605" t="s">
        <v>700</v>
      </c>
      <c r="H605" s="1" t="s">
        <v>3393</v>
      </c>
      <c r="I605" t="s">
        <v>2847</v>
      </c>
      <c r="K605" t="s">
        <v>2848</v>
      </c>
      <c r="L605" t="s">
        <v>612</v>
      </c>
      <c r="M605" t="s">
        <v>613</v>
      </c>
      <c r="N605" t="s">
        <v>618</v>
      </c>
    </row>
    <row r="606" spans="1:15" x14ac:dyDescent="0.25">
      <c r="A606" t="s">
        <v>2849</v>
      </c>
      <c r="B606" t="s">
        <v>2850</v>
      </c>
      <c r="C606" t="s">
        <v>2849</v>
      </c>
      <c r="D606" t="s">
        <v>16</v>
      </c>
      <c r="F606" s="161" t="s">
        <v>3394</v>
      </c>
      <c r="G606" t="s">
        <v>749</v>
      </c>
      <c r="H606" s="1" t="s">
        <v>3393</v>
      </c>
      <c r="I606" t="s">
        <v>2851</v>
      </c>
      <c r="K606" t="s">
        <v>2852</v>
      </c>
      <c r="L606" t="s">
        <v>612</v>
      </c>
      <c r="M606" t="s">
        <v>613</v>
      </c>
      <c r="N606" t="s">
        <v>618</v>
      </c>
    </row>
    <row r="607" spans="1:15" x14ac:dyDescent="0.25">
      <c r="A607" t="s">
        <v>152</v>
      </c>
      <c r="B607" t="s">
        <v>2856</v>
      </c>
      <c r="C607" t="s">
        <v>152</v>
      </c>
      <c r="D607" t="s">
        <v>16</v>
      </c>
      <c r="E607" t="s">
        <v>15</v>
      </c>
      <c r="F607" s="161" t="s">
        <v>3394</v>
      </c>
      <c r="G607" t="s">
        <v>1368</v>
      </c>
      <c r="H607" s="1" t="s">
        <v>3393</v>
      </c>
      <c r="I607" t="s">
        <v>2857</v>
      </c>
      <c r="K607" t="s">
        <v>2858</v>
      </c>
      <c r="L607" t="s">
        <v>612</v>
      </c>
      <c r="M607" t="s">
        <v>613</v>
      </c>
      <c r="N607" t="s">
        <v>655</v>
      </c>
      <c r="O607" s="155">
        <v>44610</v>
      </c>
    </row>
    <row r="608" spans="1:15" x14ac:dyDescent="0.25">
      <c r="A608" t="s">
        <v>481</v>
      </c>
      <c r="B608" t="s">
        <v>2859</v>
      </c>
      <c r="C608" t="s">
        <v>481</v>
      </c>
      <c r="D608" t="s">
        <v>16</v>
      </c>
      <c r="E608" t="s">
        <v>15</v>
      </c>
      <c r="F608" s="161" t="s">
        <v>3394</v>
      </c>
      <c r="G608" t="s">
        <v>616</v>
      </c>
      <c r="H608" s="1" t="s">
        <v>593</v>
      </c>
      <c r="I608" t="s">
        <v>2860</v>
      </c>
      <c r="K608" t="s">
        <v>2861</v>
      </c>
      <c r="L608" t="s">
        <v>612</v>
      </c>
      <c r="M608" t="s">
        <v>613</v>
      </c>
      <c r="N608" t="s">
        <v>618</v>
      </c>
      <c r="O608" s="155">
        <v>45524</v>
      </c>
    </row>
    <row r="609" spans="1:15" x14ac:dyDescent="0.25">
      <c r="A609" t="s">
        <v>2862</v>
      </c>
      <c r="B609" t="s">
        <v>2863</v>
      </c>
      <c r="C609" t="s">
        <v>2862</v>
      </c>
      <c r="D609" t="s">
        <v>16</v>
      </c>
      <c r="F609" s="161" t="s">
        <v>3394</v>
      </c>
      <c r="H609" s="1" t="s">
        <v>3393</v>
      </c>
      <c r="K609" t="s">
        <v>2864</v>
      </c>
      <c r="L609" t="s">
        <v>612</v>
      </c>
      <c r="M609" t="s">
        <v>613</v>
      </c>
      <c r="N609" t="s">
        <v>618</v>
      </c>
    </row>
    <row r="610" spans="1:15" x14ac:dyDescent="0.25">
      <c r="A610" t="s">
        <v>349</v>
      </c>
      <c r="B610" t="s">
        <v>2865</v>
      </c>
      <c r="C610" t="s">
        <v>349</v>
      </c>
      <c r="D610" t="s">
        <v>16</v>
      </c>
      <c r="E610" t="s">
        <v>15</v>
      </c>
      <c r="F610" s="161" t="s">
        <v>3394</v>
      </c>
      <c r="G610" t="s">
        <v>768</v>
      </c>
      <c r="H610" s="1" t="s">
        <v>3393</v>
      </c>
      <c r="I610" t="s">
        <v>769</v>
      </c>
      <c r="K610" t="s">
        <v>2866</v>
      </c>
      <c r="L610" t="s">
        <v>612</v>
      </c>
      <c r="M610" t="s">
        <v>613</v>
      </c>
      <c r="N610" t="s">
        <v>655</v>
      </c>
      <c r="O610" s="155">
        <v>44480</v>
      </c>
    </row>
    <row r="611" spans="1:15" x14ac:dyDescent="0.25">
      <c r="A611" t="s">
        <v>2867</v>
      </c>
      <c r="B611" t="s">
        <v>2868</v>
      </c>
      <c r="C611" t="s">
        <v>2867</v>
      </c>
      <c r="D611" t="s">
        <v>16</v>
      </c>
      <c r="F611" s="161" t="s">
        <v>3394</v>
      </c>
      <c r="G611" t="s">
        <v>102</v>
      </c>
      <c r="H611" s="1" t="s">
        <v>3393</v>
      </c>
      <c r="I611" t="s">
        <v>2366</v>
      </c>
      <c r="K611" t="s">
        <v>2869</v>
      </c>
      <c r="L611" t="s">
        <v>612</v>
      </c>
      <c r="M611" t="s">
        <v>613</v>
      </c>
      <c r="N611" t="s">
        <v>655</v>
      </c>
    </row>
    <row r="612" spans="1:15" x14ac:dyDescent="0.25">
      <c r="A612" t="s">
        <v>566</v>
      </c>
      <c r="B612" t="s">
        <v>2877</v>
      </c>
      <c r="C612" t="s">
        <v>566</v>
      </c>
      <c r="D612" t="s">
        <v>16</v>
      </c>
      <c r="E612" t="s">
        <v>15</v>
      </c>
      <c r="F612" s="161" t="s">
        <v>3394</v>
      </c>
      <c r="G612" t="s">
        <v>752</v>
      </c>
      <c r="H612" s="1" t="s">
        <v>596</v>
      </c>
      <c r="I612" t="s">
        <v>2878</v>
      </c>
      <c r="K612" t="s">
        <v>2879</v>
      </c>
      <c r="L612" t="s">
        <v>612</v>
      </c>
      <c r="M612" t="s">
        <v>613</v>
      </c>
      <c r="N612" t="s">
        <v>618</v>
      </c>
      <c r="O612" s="155">
        <v>45342</v>
      </c>
    </row>
    <row r="613" spans="1:15" x14ac:dyDescent="0.25">
      <c r="A613" t="s">
        <v>2880</v>
      </c>
      <c r="B613" t="s">
        <v>2881</v>
      </c>
      <c r="C613" t="s">
        <v>2880</v>
      </c>
      <c r="D613" t="s">
        <v>16</v>
      </c>
      <c r="F613" s="161" t="s">
        <v>3394</v>
      </c>
      <c r="H613" s="1" t="s">
        <v>3393</v>
      </c>
      <c r="K613" t="s">
        <v>2882</v>
      </c>
      <c r="L613" t="s">
        <v>612</v>
      </c>
      <c r="M613" t="s">
        <v>613</v>
      </c>
      <c r="N613" t="s">
        <v>655</v>
      </c>
    </row>
    <row r="614" spans="1:15" x14ac:dyDescent="0.25">
      <c r="A614" t="s">
        <v>490</v>
      </c>
      <c r="B614" t="s">
        <v>2883</v>
      </c>
      <c r="C614" t="s">
        <v>490</v>
      </c>
      <c r="D614" t="s">
        <v>16</v>
      </c>
      <c r="E614" t="s">
        <v>15</v>
      </c>
      <c r="F614" s="161" t="s">
        <v>3394</v>
      </c>
      <c r="G614" t="s">
        <v>700</v>
      </c>
      <c r="H614" s="1" t="s">
        <v>587</v>
      </c>
      <c r="I614" t="s">
        <v>2606</v>
      </c>
      <c r="K614" t="s">
        <v>2884</v>
      </c>
      <c r="L614" t="s">
        <v>612</v>
      </c>
      <c r="M614" t="s">
        <v>613</v>
      </c>
      <c r="N614" t="s">
        <v>618</v>
      </c>
      <c r="O614" s="155">
        <v>45814</v>
      </c>
    </row>
    <row r="615" spans="1:15" x14ac:dyDescent="0.25">
      <c r="A615" t="s">
        <v>2885</v>
      </c>
      <c r="B615" t="s">
        <v>2886</v>
      </c>
      <c r="C615" t="s">
        <v>2885</v>
      </c>
      <c r="D615" t="s">
        <v>16</v>
      </c>
      <c r="F615" s="161" t="s">
        <v>3394</v>
      </c>
      <c r="G615" t="s">
        <v>640</v>
      </c>
      <c r="H615" s="1" t="s">
        <v>3393</v>
      </c>
      <c r="I615" t="s">
        <v>2887</v>
      </c>
      <c r="K615" t="s">
        <v>2888</v>
      </c>
      <c r="L615" t="s">
        <v>612</v>
      </c>
      <c r="M615" t="s">
        <v>613</v>
      </c>
      <c r="N615" t="s">
        <v>618</v>
      </c>
    </row>
    <row r="616" spans="1:15" x14ac:dyDescent="0.25">
      <c r="A616" t="s">
        <v>160</v>
      </c>
      <c r="B616" t="s">
        <v>2891</v>
      </c>
      <c r="C616" t="s">
        <v>160</v>
      </c>
      <c r="D616" t="s">
        <v>16</v>
      </c>
      <c r="E616" t="s">
        <v>15</v>
      </c>
      <c r="F616" s="161" t="s">
        <v>3394</v>
      </c>
      <c r="G616" t="s">
        <v>1849</v>
      </c>
      <c r="H616" s="1" t="s">
        <v>3393</v>
      </c>
      <c r="I616" t="s">
        <v>867</v>
      </c>
      <c r="L616" t="s">
        <v>612</v>
      </c>
      <c r="M616" t="s">
        <v>613</v>
      </c>
      <c r="N616" t="s">
        <v>655</v>
      </c>
      <c r="O616" s="155">
        <v>46204</v>
      </c>
    </row>
    <row r="617" spans="1:15" x14ac:dyDescent="0.25">
      <c r="A617" t="s">
        <v>2896</v>
      </c>
      <c r="B617" t="s">
        <v>2897</v>
      </c>
      <c r="C617" t="s">
        <v>2896</v>
      </c>
      <c r="D617" t="s">
        <v>16</v>
      </c>
      <c r="F617" s="161" t="s">
        <v>3394</v>
      </c>
      <c r="G617" t="s">
        <v>749</v>
      </c>
      <c r="H617" s="1" t="s">
        <v>3393</v>
      </c>
      <c r="I617" t="s">
        <v>1038</v>
      </c>
      <c r="K617" t="s">
        <v>2898</v>
      </c>
      <c r="L617" t="s">
        <v>612</v>
      </c>
      <c r="M617" t="s">
        <v>613</v>
      </c>
      <c r="N617" t="s">
        <v>618</v>
      </c>
    </row>
    <row r="618" spans="1:15" x14ac:dyDescent="0.25">
      <c r="A618" t="s">
        <v>541</v>
      </c>
      <c r="B618" t="s">
        <v>2899</v>
      </c>
      <c r="C618" t="s">
        <v>541</v>
      </c>
      <c r="D618" t="s">
        <v>16</v>
      </c>
      <c r="E618" t="s">
        <v>15</v>
      </c>
      <c r="F618" s="161" t="s">
        <v>3394</v>
      </c>
      <c r="G618" t="s">
        <v>703</v>
      </c>
      <c r="H618" s="1" t="s">
        <v>3393</v>
      </c>
      <c r="I618" t="s">
        <v>2058</v>
      </c>
      <c r="K618" t="s">
        <v>2900</v>
      </c>
      <c r="L618" t="s">
        <v>612</v>
      </c>
      <c r="M618" t="s">
        <v>613</v>
      </c>
      <c r="N618" t="s">
        <v>618</v>
      </c>
      <c r="O618" s="155">
        <v>45151</v>
      </c>
    </row>
    <row r="619" spans="1:15" x14ac:dyDescent="0.25">
      <c r="A619" t="s">
        <v>2901</v>
      </c>
      <c r="B619" t="s">
        <v>2902</v>
      </c>
      <c r="C619" t="s">
        <v>2901</v>
      </c>
      <c r="D619" t="s">
        <v>16</v>
      </c>
      <c r="F619" s="161" t="s">
        <v>3394</v>
      </c>
      <c r="G619" t="s">
        <v>700</v>
      </c>
      <c r="H619" s="1" t="s">
        <v>3393</v>
      </c>
      <c r="I619" t="s">
        <v>1248</v>
      </c>
      <c r="L619" t="s">
        <v>612</v>
      </c>
      <c r="M619" t="s">
        <v>613</v>
      </c>
      <c r="N619" t="s">
        <v>618</v>
      </c>
    </row>
    <row r="620" spans="1:15" x14ac:dyDescent="0.25">
      <c r="A620" t="s">
        <v>385</v>
      </c>
      <c r="B620" t="s">
        <v>2903</v>
      </c>
      <c r="C620" t="s">
        <v>385</v>
      </c>
      <c r="D620" t="s">
        <v>16</v>
      </c>
      <c r="E620" t="s">
        <v>15</v>
      </c>
      <c r="F620" s="161" t="s">
        <v>3394</v>
      </c>
      <c r="G620" t="s">
        <v>1190</v>
      </c>
      <c r="H620" s="1" t="s">
        <v>595</v>
      </c>
      <c r="I620" t="s">
        <v>2527</v>
      </c>
      <c r="K620" t="s">
        <v>2904</v>
      </c>
      <c r="L620" t="s">
        <v>612</v>
      </c>
      <c r="M620" t="s">
        <v>613</v>
      </c>
      <c r="N620" t="s">
        <v>618</v>
      </c>
      <c r="O620" s="155">
        <v>45151</v>
      </c>
    </row>
    <row r="621" spans="1:15" x14ac:dyDescent="0.25">
      <c r="A621" t="s">
        <v>2905</v>
      </c>
      <c r="B621" t="s">
        <v>2906</v>
      </c>
      <c r="C621" t="s">
        <v>2905</v>
      </c>
      <c r="D621" t="s">
        <v>16</v>
      </c>
      <c r="F621" s="161" t="s">
        <v>3394</v>
      </c>
      <c r="H621" s="1" t="s">
        <v>3393</v>
      </c>
      <c r="K621" t="s">
        <v>2907</v>
      </c>
      <c r="L621" t="s">
        <v>612</v>
      </c>
      <c r="M621" t="s">
        <v>613</v>
      </c>
      <c r="N621" t="s">
        <v>618</v>
      </c>
    </row>
    <row r="622" spans="1:15" x14ac:dyDescent="0.25">
      <c r="A622" t="s">
        <v>2908</v>
      </c>
      <c r="B622" t="s">
        <v>2909</v>
      </c>
      <c r="C622" t="s">
        <v>2908</v>
      </c>
      <c r="D622" t="s">
        <v>16</v>
      </c>
      <c r="F622" s="161" t="s">
        <v>3394</v>
      </c>
      <c r="G622" t="s">
        <v>621</v>
      </c>
      <c r="H622" s="1" t="s">
        <v>3393</v>
      </c>
      <c r="I622" t="s">
        <v>2910</v>
      </c>
      <c r="K622" t="s">
        <v>2911</v>
      </c>
      <c r="L622" t="s">
        <v>612</v>
      </c>
      <c r="M622" t="s">
        <v>613</v>
      </c>
      <c r="N622" t="s">
        <v>618</v>
      </c>
    </row>
    <row r="623" spans="1:15" x14ac:dyDescent="0.25">
      <c r="A623" t="s">
        <v>18</v>
      </c>
      <c r="B623" t="s">
        <v>2916</v>
      </c>
      <c r="C623" t="s">
        <v>18</v>
      </c>
      <c r="D623" t="s">
        <v>16</v>
      </c>
      <c r="E623" t="s">
        <v>19</v>
      </c>
      <c r="F623" s="161" t="s">
        <v>3394</v>
      </c>
      <c r="G623" t="s">
        <v>700</v>
      </c>
      <c r="H623" s="1" t="s">
        <v>587</v>
      </c>
      <c r="I623" t="s">
        <v>2917</v>
      </c>
      <c r="K623" t="s">
        <v>2918</v>
      </c>
      <c r="L623" t="s">
        <v>612</v>
      </c>
      <c r="M623" t="s">
        <v>613</v>
      </c>
      <c r="N623" t="s">
        <v>618</v>
      </c>
      <c r="O623" s="155">
        <v>44652</v>
      </c>
    </row>
    <row r="624" spans="1:15" x14ac:dyDescent="0.25">
      <c r="A624" t="s">
        <v>583</v>
      </c>
      <c r="B624" t="s">
        <v>2919</v>
      </c>
      <c r="C624" t="s">
        <v>583</v>
      </c>
      <c r="D624" t="s">
        <v>16</v>
      </c>
      <c r="E624" t="s">
        <v>15</v>
      </c>
      <c r="F624" s="161" t="s">
        <v>3394</v>
      </c>
      <c r="G624" t="s">
        <v>752</v>
      </c>
      <c r="H624" s="1" t="s">
        <v>596</v>
      </c>
      <c r="I624" t="s">
        <v>958</v>
      </c>
      <c r="K624" t="s">
        <v>2920</v>
      </c>
      <c r="L624" t="s">
        <v>612</v>
      </c>
      <c r="M624" t="s">
        <v>613</v>
      </c>
      <c r="N624" t="s">
        <v>618</v>
      </c>
      <c r="O624" s="155">
        <v>45411</v>
      </c>
    </row>
    <row r="625" spans="1:15" x14ac:dyDescent="0.25">
      <c r="A625" t="s">
        <v>497</v>
      </c>
      <c r="B625" t="s">
        <v>2921</v>
      </c>
      <c r="C625" t="s">
        <v>497</v>
      </c>
      <c r="D625" t="s">
        <v>16</v>
      </c>
      <c r="E625" t="s">
        <v>15</v>
      </c>
      <c r="F625" s="161" t="s">
        <v>3394</v>
      </c>
      <c r="G625" t="s">
        <v>2922</v>
      </c>
      <c r="H625" s="1" t="s">
        <v>587</v>
      </c>
      <c r="I625" t="s">
        <v>2923</v>
      </c>
      <c r="K625" t="s">
        <v>2924</v>
      </c>
      <c r="L625" t="s">
        <v>612</v>
      </c>
      <c r="M625" t="s">
        <v>613</v>
      </c>
      <c r="N625" t="s">
        <v>618</v>
      </c>
      <c r="O625" s="155">
        <v>45151</v>
      </c>
    </row>
    <row r="626" spans="1:15" x14ac:dyDescent="0.25">
      <c r="A626" t="s">
        <v>2925</v>
      </c>
      <c r="B626" t="s">
        <v>2926</v>
      </c>
      <c r="C626" t="s">
        <v>2925</v>
      </c>
      <c r="D626" t="s">
        <v>16</v>
      </c>
      <c r="F626" s="161" t="s">
        <v>3394</v>
      </c>
      <c r="G626" t="s">
        <v>700</v>
      </c>
      <c r="H626" s="1" t="s">
        <v>3393</v>
      </c>
      <c r="I626" t="s">
        <v>2927</v>
      </c>
      <c r="L626" t="s">
        <v>612</v>
      </c>
      <c r="M626" t="s">
        <v>613</v>
      </c>
      <c r="N626" t="s">
        <v>618</v>
      </c>
    </row>
    <row r="627" spans="1:15" x14ac:dyDescent="0.25">
      <c r="A627" t="s">
        <v>2930</v>
      </c>
      <c r="B627" t="s">
        <v>2931</v>
      </c>
      <c r="C627" t="s">
        <v>2930</v>
      </c>
      <c r="D627" t="s">
        <v>16</v>
      </c>
      <c r="F627" s="161" t="s">
        <v>3394</v>
      </c>
      <c r="G627" t="s">
        <v>752</v>
      </c>
      <c r="H627" s="1" t="s">
        <v>3393</v>
      </c>
      <c r="I627" t="s">
        <v>1175</v>
      </c>
      <c r="L627" t="s">
        <v>612</v>
      </c>
      <c r="M627" t="s">
        <v>613</v>
      </c>
      <c r="N627" t="s">
        <v>618</v>
      </c>
    </row>
    <row r="628" spans="1:15" x14ac:dyDescent="0.25">
      <c r="A628" t="s">
        <v>2932</v>
      </c>
      <c r="B628" t="s">
        <v>2933</v>
      </c>
      <c r="C628" t="s">
        <v>2932</v>
      </c>
      <c r="D628" t="s">
        <v>16</v>
      </c>
      <c r="F628" s="161" t="s">
        <v>3394</v>
      </c>
      <c r="G628" t="s">
        <v>1278</v>
      </c>
      <c r="H628" s="1" t="s">
        <v>3393</v>
      </c>
      <c r="I628" t="s">
        <v>769</v>
      </c>
      <c r="K628" t="s">
        <v>2934</v>
      </c>
      <c r="L628" t="s">
        <v>612</v>
      </c>
      <c r="M628" t="s">
        <v>613</v>
      </c>
      <c r="N628" t="s">
        <v>618</v>
      </c>
    </row>
    <row r="629" spans="1:15" x14ac:dyDescent="0.25">
      <c r="A629" t="s">
        <v>2935</v>
      </c>
      <c r="B629" t="s">
        <v>2936</v>
      </c>
      <c r="C629" t="s">
        <v>2935</v>
      </c>
      <c r="D629" t="s">
        <v>16</v>
      </c>
      <c r="F629" s="161" t="s">
        <v>3394</v>
      </c>
      <c r="G629" t="s">
        <v>744</v>
      </c>
      <c r="H629" s="1" t="s">
        <v>3393</v>
      </c>
      <c r="I629" t="s">
        <v>2937</v>
      </c>
      <c r="K629" t="s">
        <v>2938</v>
      </c>
      <c r="L629" t="s">
        <v>612</v>
      </c>
      <c r="M629" t="s">
        <v>613</v>
      </c>
      <c r="N629" t="s">
        <v>618</v>
      </c>
    </row>
    <row r="630" spans="1:15" x14ac:dyDescent="0.25">
      <c r="A630" t="s">
        <v>2939</v>
      </c>
      <c r="B630" t="s">
        <v>2940</v>
      </c>
      <c r="C630" t="s">
        <v>2939</v>
      </c>
      <c r="D630" t="s">
        <v>16</v>
      </c>
      <c r="F630" s="161" t="s">
        <v>3394</v>
      </c>
      <c r="H630" s="1" t="s">
        <v>3393</v>
      </c>
      <c r="K630" t="s">
        <v>2941</v>
      </c>
      <c r="L630" t="s">
        <v>612</v>
      </c>
      <c r="M630" t="s">
        <v>613</v>
      </c>
      <c r="N630" t="s">
        <v>618</v>
      </c>
    </row>
    <row r="631" spans="1:15" x14ac:dyDescent="0.25">
      <c r="A631" t="s">
        <v>2946</v>
      </c>
      <c r="B631" t="s">
        <v>2947</v>
      </c>
      <c r="C631" t="s">
        <v>2946</v>
      </c>
      <c r="D631" t="s">
        <v>16</v>
      </c>
      <c r="F631" s="161" t="s">
        <v>3394</v>
      </c>
      <c r="G631" t="s">
        <v>749</v>
      </c>
      <c r="H631" s="1" t="s">
        <v>3393</v>
      </c>
      <c r="I631" t="s">
        <v>2948</v>
      </c>
      <c r="K631" t="s">
        <v>2949</v>
      </c>
      <c r="L631" t="s">
        <v>612</v>
      </c>
      <c r="M631" t="s">
        <v>613</v>
      </c>
      <c r="N631" t="s">
        <v>618</v>
      </c>
    </row>
    <row r="632" spans="1:15" x14ac:dyDescent="0.25">
      <c r="A632" t="s">
        <v>2950</v>
      </c>
      <c r="B632" t="s">
        <v>2951</v>
      </c>
      <c r="C632" t="s">
        <v>2950</v>
      </c>
      <c r="D632" t="s">
        <v>16</v>
      </c>
      <c r="F632" s="161" t="s">
        <v>3394</v>
      </c>
      <c r="G632" t="s">
        <v>1033</v>
      </c>
      <c r="H632" s="1" t="s">
        <v>3393</v>
      </c>
      <c r="I632" t="s">
        <v>2952</v>
      </c>
      <c r="K632" t="s">
        <v>2953</v>
      </c>
      <c r="L632" t="s">
        <v>612</v>
      </c>
      <c r="M632" t="s">
        <v>613</v>
      </c>
      <c r="N632" t="s">
        <v>655</v>
      </c>
    </row>
    <row r="633" spans="1:15" x14ac:dyDescent="0.25">
      <c r="A633" t="s">
        <v>2954</v>
      </c>
      <c r="B633" t="s">
        <v>2955</v>
      </c>
      <c r="C633" t="s">
        <v>2954</v>
      </c>
      <c r="D633" t="s">
        <v>16</v>
      </c>
      <c r="F633" s="161" t="s">
        <v>3394</v>
      </c>
      <c r="G633" t="s">
        <v>102</v>
      </c>
      <c r="H633" s="1" t="s">
        <v>3393</v>
      </c>
      <c r="I633" t="s">
        <v>2956</v>
      </c>
      <c r="K633" t="s">
        <v>2957</v>
      </c>
      <c r="L633" t="s">
        <v>612</v>
      </c>
      <c r="M633" t="s">
        <v>613</v>
      </c>
      <c r="N633" t="s">
        <v>655</v>
      </c>
    </row>
    <row r="634" spans="1:15" x14ac:dyDescent="0.25">
      <c r="A634" t="s">
        <v>2958</v>
      </c>
      <c r="B634" t="s">
        <v>2959</v>
      </c>
      <c r="C634" t="s">
        <v>2958</v>
      </c>
      <c r="D634" t="s">
        <v>16</v>
      </c>
      <c r="F634" s="161" t="s">
        <v>3394</v>
      </c>
      <c r="G634" t="s">
        <v>749</v>
      </c>
      <c r="H634" s="1" t="s">
        <v>3393</v>
      </c>
      <c r="I634" t="s">
        <v>2960</v>
      </c>
      <c r="K634" t="s">
        <v>2961</v>
      </c>
      <c r="L634" t="s">
        <v>612</v>
      </c>
      <c r="M634" t="s">
        <v>613</v>
      </c>
      <c r="N634" t="s">
        <v>618</v>
      </c>
    </row>
    <row r="635" spans="1:15" x14ac:dyDescent="0.25">
      <c r="A635" t="s">
        <v>2962</v>
      </c>
      <c r="B635" t="s">
        <v>2963</v>
      </c>
      <c r="C635" t="s">
        <v>2962</v>
      </c>
      <c r="D635" t="s">
        <v>16</v>
      </c>
      <c r="F635" s="161" t="s">
        <v>3394</v>
      </c>
      <c r="G635" t="s">
        <v>744</v>
      </c>
      <c r="H635" s="1" t="s">
        <v>3393</v>
      </c>
      <c r="I635" t="s">
        <v>1217</v>
      </c>
      <c r="K635" t="s">
        <v>2964</v>
      </c>
      <c r="L635" t="s">
        <v>612</v>
      </c>
      <c r="M635" t="s">
        <v>613</v>
      </c>
      <c r="N635" t="s">
        <v>618</v>
      </c>
    </row>
    <row r="636" spans="1:15" x14ac:dyDescent="0.25">
      <c r="A636" t="s">
        <v>2974</v>
      </c>
      <c r="B636" t="s">
        <v>2975</v>
      </c>
      <c r="C636" t="s">
        <v>2974</v>
      </c>
      <c r="D636" t="s">
        <v>16</v>
      </c>
      <c r="F636" s="161" t="s">
        <v>3394</v>
      </c>
      <c r="G636" t="s">
        <v>168</v>
      </c>
      <c r="H636" s="1" t="s">
        <v>3393</v>
      </c>
      <c r="I636" t="s">
        <v>2976</v>
      </c>
      <c r="L636" t="s">
        <v>612</v>
      </c>
      <c r="M636" t="s">
        <v>613</v>
      </c>
      <c r="N636" t="s">
        <v>655</v>
      </c>
    </row>
    <row r="637" spans="1:15" x14ac:dyDescent="0.25">
      <c r="A637" t="s">
        <v>2977</v>
      </c>
      <c r="B637" t="s">
        <v>2978</v>
      </c>
      <c r="C637" t="s">
        <v>2977</v>
      </c>
      <c r="D637" t="s">
        <v>16</v>
      </c>
      <c r="F637" s="161" t="s">
        <v>3394</v>
      </c>
      <c r="G637" t="s">
        <v>616</v>
      </c>
      <c r="H637" s="1" t="s">
        <v>3393</v>
      </c>
      <c r="I637" t="s">
        <v>2979</v>
      </c>
      <c r="K637" t="s">
        <v>2980</v>
      </c>
      <c r="L637" t="s">
        <v>612</v>
      </c>
      <c r="M637" t="s">
        <v>613</v>
      </c>
      <c r="N637" t="s">
        <v>618</v>
      </c>
    </row>
    <row r="638" spans="1:15" x14ac:dyDescent="0.25">
      <c r="A638" t="s">
        <v>530</v>
      </c>
      <c r="B638" t="s">
        <v>2984</v>
      </c>
      <c r="C638" t="s">
        <v>530</v>
      </c>
      <c r="D638" t="s">
        <v>16</v>
      </c>
      <c r="E638" t="s">
        <v>15</v>
      </c>
      <c r="F638" s="161" t="s">
        <v>3394</v>
      </c>
      <c r="G638" t="s">
        <v>749</v>
      </c>
      <c r="H638" s="1" t="s">
        <v>593</v>
      </c>
      <c r="I638" t="s">
        <v>2985</v>
      </c>
      <c r="L638" t="s">
        <v>612</v>
      </c>
      <c r="M638" t="s">
        <v>613</v>
      </c>
      <c r="N638" t="s">
        <v>618</v>
      </c>
      <c r="O638" s="155">
        <v>46153</v>
      </c>
    </row>
    <row r="639" spans="1:15" x14ac:dyDescent="0.25">
      <c r="A639" t="s">
        <v>530</v>
      </c>
      <c r="B639" t="s">
        <v>2986</v>
      </c>
      <c r="C639" t="s">
        <v>530</v>
      </c>
      <c r="D639" t="s">
        <v>16</v>
      </c>
      <c r="E639" t="s">
        <v>15</v>
      </c>
      <c r="F639" s="161" t="s">
        <v>3394</v>
      </c>
      <c r="G639" t="s">
        <v>616</v>
      </c>
      <c r="H639" s="1" t="s">
        <v>593</v>
      </c>
      <c r="I639" t="s">
        <v>728</v>
      </c>
      <c r="L639" t="s">
        <v>612</v>
      </c>
      <c r="M639" t="s">
        <v>613</v>
      </c>
      <c r="N639" t="s">
        <v>618</v>
      </c>
      <c r="O639" s="155">
        <v>46153</v>
      </c>
    </row>
    <row r="640" spans="1:15" x14ac:dyDescent="0.25">
      <c r="A640" t="s">
        <v>2989</v>
      </c>
      <c r="B640" t="s">
        <v>2990</v>
      </c>
      <c r="C640" t="s">
        <v>2989</v>
      </c>
      <c r="D640" t="s">
        <v>16</v>
      </c>
      <c r="F640" s="161" t="s">
        <v>3394</v>
      </c>
      <c r="G640" t="s">
        <v>749</v>
      </c>
      <c r="H640" s="1" t="s">
        <v>3393</v>
      </c>
      <c r="I640" t="s">
        <v>2985</v>
      </c>
      <c r="L640" t="s">
        <v>612</v>
      </c>
      <c r="M640" t="s">
        <v>613</v>
      </c>
      <c r="N640" t="s">
        <v>618</v>
      </c>
    </row>
    <row r="641" spans="1:15" x14ac:dyDescent="0.25">
      <c r="A641" t="s">
        <v>470</v>
      </c>
      <c r="B641" t="s">
        <v>2993</v>
      </c>
      <c r="C641" t="s">
        <v>470</v>
      </c>
      <c r="D641" t="s">
        <v>16</v>
      </c>
      <c r="E641" t="s">
        <v>15</v>
      </c>
      <c r="F641" s="161" t="s">
        <v>3394</v>
      </c>
      <c r="G641" t="s">
        <v>840</v>
      </c>
      <c r="H641" s="1" t="s">
        <v>594</v>
      </c>
      <c r="I641" t="s">
        <v>2994</v>
      </c>
      <c r="K641" t="s">
        <v>2995</v>
      </c>
      <c r="L641" t="s">
        <v>612</v>
      </c>
      <c r="M641" t="s">
        <v>613</v>
      </c>
      <c r="N641" t="s">
        <v>618</v>
      </c>
      <c r="O641" s="155">
        <v>45151</v>
      </c>
    </row>
    <row r="642" spans="1:15" x14ac:dyDescent="0.25">
      <c r="A642" t="s">
        <v>3000</v>
      </c>
      <c r="B642" t="s">
        <v>3001</v>
      </c>
      <c r="C642" t="s">
        <v>3000</v>
      </c>
      <c r="D642" t="s">
        <v>16</v>
      </c>
      <c r="F642" s="161" t="s">
        <v>3394</v>
      </c>
      <c r="G642" t="s">
        <v>876</v>
      </c>
      <c r="H642" s="1" t="s">
        <v>3393</v>
      </c>
      <c r="I642" t="s">
        <v>877</v>
      </c>
      <c r="K642" t="s">
        <v>3002</v>
      </c>
      <c r="L642" t="s">
        <v>612</v>
      </c>
      <c r="M642" t="s">
        <v>613</v>
      </c>
      <c r="N642" t="s">
        <v>618</v>
      </c>
    </row>
    <row r="643" spans="1:15" x14ac:dyDescent="0.25">
      <c r="A643" t="s">
        <v>3003</v>
      </c>
      <c r="B643" t="s">
        <v>3004</v>
      </c>
      <c r="C643" t="s">
        <v>3003</v>
      </c>
      <c r="D643" t="s">
        <v>16</v>
      </c>
      <c r="F643" s="161" t="s">
        <v>3394</v>
      </c>
      <c r="G643" t="s">
        <v>749</v>
      </c>
      <c r="H643" s="1" t="s">
        <v>3393</v>
      </c>
      <c r="I643" t="s">
        <v>2523</v>
      </c>
      <c r="K643" t="s">
        <v>3005</v>
      </c>
      <c r="L643" t="s">
        <v>612</v>
      </c>
      <c r="M643" t="s">
        <v>613</v>
      </c>
      <c r="N643" t="s">
        <v>618</v>
      </c>
    </row>
    <row r="644" spans="1:15" x14ac:dyDescent="0.25">
      <c r="A644" t="s">
        <v>407</v>
      </c>
      <c r="B644" t="s">
        <v>3006</v>
      </c>
      <c r="C644" t="s">
        <v>407</v>
      </c>
      <c r="D644" t="s">
        <v>16</v>
      </c>
      <c r="E644" t="s">
        <v>15</v>
      </c>
      <c r="F644" s="161" t="s">
        <v>3394</v>
      </c>
      <c r="G644" t="s">
        <v>752</v>
      </c>
      <c r="H644" s="1" t="s">
        <v>596</v>
      </c>
      <c r="I644" t="s">
        <v>3007</v>
      </c>
      <c r="K644" t="s">
        <v>3008</v>
      </c>
      <c r="L644" t="s">
        <v>612</v>
      </c>
      <c r="M644" t="s">
        <v>613</v>
      </c>
      <c r="N644" t="s">
        <v>618</v>
      </c>
      <c r="O644" s="155">
        <v>0</v>
      </c>
    </row>
    <row r="645" spans="1:15" x14ac:dyDescent="0.25">
      <c r="A645" t="s">
        <v>472</v>
      </c>
      <c r="B645" t="s">
        <v>3009</v>
      </c>
      <c r="C645" t="s">
        <v>472</v>
      </c>
      <c r="D645" t="s">
        <v>16</v>
      </c>
      <c r="E645" t="s">
        <v>15</v>
      </c>
      <c r="F645" s="161" t="s">
        <v>3394</v>
      </c>
      <c r="G645" t="s">
        <v>1244</v>
      </c>
      <c r="H645" s="1" t="s">
        <v>594</v>
      </c>
      <c r="I645" t="s">
        <v>1327</v>
      </c>
      <c r="K645" t="s">
        <v>3010</v>
      </c>
      <c r="L645" t="s">
        <v>612</v>
      </c>
      <c r="M645" t="s">
        <v>613</v>
      </c>
      <c r="N645" t="s">
        <v>618</v>
      </c>
      <c r="O645" s="155">
        <v>45709</v>
      </c>
    </row>
    <row r="646" spans="1:15" x14ac:dyDescent="0.25">
      <c r="A646" t="s">
        <v>3011</v>
      </c>
      <c r="B646" t="s">
        <v>3012</v>
      </c>
      <c r="C646" t="s">
        <v>3011</v>
      </c>
      <c r="D646" t="s">
        <v>16</v>
      </c>
      <c r="F646" s="161" t="s">
        <v>3394</v>
      </c>
      <c r="G646" t="s">
        <v>876</v>
      </c>
      <c r="H646" s="1" t="s">
        <v>3393</v>
      </c>
      <c r="I646" t="s">
        <v>1257</v>
      </c>
      <c r="K646" t="s">
        <v>3013</v>
      </c>
      <c r="L646" t="s">
        <v>612</v>
      </c>
      <c r="M646" t="s">
        <v>613</v>
      </c>
      <c r="N646" t="s">
        <v>618</v>
      </c>
    </row>
    <row r="647" spans="1:15" x14ac:dyDescent="0.25">
      <c r="A647" t="s">
        <v>3014</v>
      </c>
      <c r="B647" t="s">
        <v>3015</v>
      </c>
      <c r="C647" t="s">
        <v>3014</v>
      </c>
      <c r="D647" t="s">
        <v>16</v>
      </c>
      <c r="F647" s="161" t="s">
        <v>3394</v>
      </c>
      <c r="G647" t="s">
        <v>749</v>
      </c>
      <c r="H647" s="1" t="s">
        <v>3393</v>
      </c>
      <c r="I647" t="s">
        <v>2199</v>
      </c>
      <c r="K647" t="s">
        <v>3016</v>
      </c>
      <c r="L647" t="s">
        <v>612</v>
      </c>
      <c r="M647" t="s">
        <v>613</v>
      </c>
      <c r="N647" t="s">
        <v>618</v>
      </c>
    </row>
    <row r="648" spans="1:15" x14ac:dyDescent="0.25">
      <c r="A648" t="s">
        <v>529</v>
      </c>
      <c r="B648" t="s">
        <v>3020</v>
      </c>
      <c r="C648" t="s">
        <v>529</v>
      </c>
      <c r="D648" t="s">
        <v>16</v>
      </c>
      <c r="E648" t="s">
        <v>15</v>
      </c>
      <c r="F648" s="161" t="s">
        <v>3394</v>
      </c>
      <c r="G648" t="s">
        <v>616</v>
      </c>
      <c r="H648" s="1" t="s">
        <v>593</v>
      </c>
      <c r="I648" t="s">
        <v>3021</v>
      </c>
      <c r="K648" t="s">
        <v>3022</v>
      </c>
      <c r="L648" t="s">
        <v>612</v>
      </c>
      <c r="M648" t="s">
        <v>613</v>
      </c>
      <c r="N648" t="s">
        <v>618</v>
      </c>
      <c r="O648" s="155">
        <v>45151</v>
      </c>
    </row>
    <row r="649" spans="1:15" x14ac:dyDescent="0.25">
      <c r="A649" t="s">
        <v>3023</v>
      </c>
      <c r="B649" t="s">
        <v>3024</v>
      </c>
      <c r="C649" t="s">
        <v>3023</v>
      </c>
      <c r="D649" t="s">
        <v>16</v>
      </c>
      <c r="F649" s="161" t="s">
        <v>3394</v>
      </c>
      <c r="G649" t="s">
        <v>749</v>
      </c>
      <c r="H649" s="1" t="s">
        <v>3393</v>
      </c>
      <c r="I649" t="s">
        <v>3025</v>
      </c>
      <c r="K649" t="s">
        <v>3026</v>
      </c>
      <c r="L649" t="s">
        <v>612</v>
      </c>
      <c r="M649" t="s">
        <v>613</v>
      </c>
      <c r="N649" t="s">
        <v>618</v>
      </c>
    </row>
    <row r="650" spans="1:15" x14ac:dyDescent="0.25">
      <c r="A650" t="s">
        <v>3027</v>
      </c>
      <c r="B650" t="s">
        <v>3028</v>
      </c>
      <c r="C650" t="s">
        <v>3027</v>
      </c>
      <c r="D650" t="s">
        <v>16</v>
      </c>
      <c r="F650" s="161" t="s">
        <v>3394</v>
      </c>
      <c r="G650" t="s">
        <v>168</v>
      </c>
      <c r="H650" s="1" t="s">
        <v>3393</v>
      </c>
      <c r="I650" t="s">
        <v>3029</v>
      </c>
      <c r="K650" t="s">
        <v>3030</v>
      </c>
      <c r="L650" t="s">
        <v>612</v>
      </c>
      <c r="M650" t="s">
        <v>613</v>
      </c>
      <c r="N650" t="s">
        <v>655</v>
      </c>
    </row>
    <row r="651" spans="1:15" x14ac:dyDescent="0.25">
      <c r="A651" t="s">
        <v>3031</v>
      </c>
      <c r="B651" t="s">
        <v>3032</v>
      </c>
      <c r="C651" t="s">
        <v>3031</v>
      </c>
      <c r="D651" t="s">
        <v>16</v>
      </c>
      <c r="F651" s="161" t="s">
        <v>3394</v>
      </c>
      <c r="G651" t="s">
        <v>749</v>
      </c>
      <c r="H651" s="1" t="s">
        <v>3393</v>
      </c>
      <c r="I651" t="s">
        <v>734</v>
      </c>
      <c r="L651" t="s">
        <v>612</v>
      </c>
      <c r="M651" t="s">
        <v>613</v>
      </c>
      <c r="N651" t="s">
        <v>618</v>
      </c>
    </row>
    <row r="652" spans="1:15" x14ac:dyDescent="0.25">
      <c r="A652" t="s">
        <v>3039</v>
      </c>
      <c r="B652" t="s">
        <v>3040</v>
      </c>
      <c r="C652" t="s">
        <v>3039</v>
      </c>
      <c r="D652" t="s">
        <v>16</v>
      </c>
      <c r="F652" s="161" t="s">
        <v>3394</v>
      </c>
      <c r="G652" t="s">
        <v>700</v>
      </c>
      <c r="H652" s="1" t="s">
        <v>3393</v>
      </c>
      <c r="I652" t="s">
        <v>2537</v>
      </c>
      <c r="L652" t="s">
        <v>612</v>
      </c>
      <c r="M652" t="s">
        <v>613</v>
      </c>
      <c r="N652" t="s">
        <v>618</v>
      </c>
    </row>
    <row r="653" spans="1:15" x14ac:dyDescent="0.25">
      <c r="A653" t="s">
        <v>3044</v>
      </c>
      <c r="B653" t="s">
        <v>3045</v>
      </c>
      <c r="C653" t="s">
        <v>3044</v>
      </c>
      <c r="D653" t="s">
        <v>16</v>
      </c>
      <c r="F653" s="161" t="s">
        <v>3394</v>
      </c>
      <c r="G653" t="s">
        <v>67</v>
      </c>
      <c r="H653" s="1" t="s">
        <v>3393</v>
      </c>
      <c r="I653" t="s">
        <v>3046</v>
      </c>
      <c r="K653" t="s">
        <v>3047</v>
      </c>
      <c r="L653" t="s">
        <v>612</v>
      </c>
      <c r="M653" t="s">
        <v>613</v>
      </c>
      <c r="N653" t="s">
        <v>655</v>
      </c>
    </row>
    <row r="654" spans="1:15" x14ac:dyDescent="0.25">
      <c r="A654" t="s">
        <v>3048</v>
      </c>
      <c r="B654" t="s">
        <v>3049</v>
      </c>
      <c r="C654" t="s">
        <v>3048</v>
      </c>
      <c r="D654" t="s">
        <v>16</v>
      </c>
      <c r="F654" s="161" t="s">
        <v>3394</v>
      </c>
      <c r="G654" t="s">
        <v>640</v>
      </c>
      <c r="H654" s="1" t="s">
        <v>3393</v>
      </c>
      <c r="I654" t="s">
        <v>1792</v>
      </c>
      <c r="L654" t="s">
        <v>612</v>
      </c>
      <c r="M654" t="s">
        <v>613</v>
      </c>
      <c r="N654" t="s">
        <v>618</v>
      </c>
    </row>
    <row r="655" spans="1:15" x14ac:dyDescent="0.25">
      <c r="A655" t="s">
        <v>3054</v>
      </c>
      <c r="B655" t="s">
        <v>3055</v>
      </c>
      <c r="C655" t="s">
        <v>3054</v>
      </c>
      <c r="D655" t="s">
        <v>16</v>
      </c>
      <c r="F655" s="161" t="s">
        <v>3394</v>
      </c>
      <c r="G655" t="s">
        <v>374</v>
      </c>
      <c r="H655" s="1" t="s">
        <v>3393</v>
      </c>
      <c r="I655" t="s">
        <v>1717</v>
      </c>
      <c r="L655" t="s">
        <v>612</v>
      </c>
      <c r="M655" t="s">
        <v>613</v>
      </c>
      <c r="N655" t="s">
        <v>618</v>
      </c>
    </row>
    <row r="656" spans="1:15" x14ac:dyDescent="0.25">
      <c r="A656" t="s">
        <v>3056</v>
      </c>
      <c r="B656" t="s">
        <v>3057</v>
      </c>
      <c r="C656" t="s">
        <v>3056</v>
      </c>
      <c r="D656" t="s">
        <v>16</v>
      </c>
      <c r="F656" s="161" t="s">
        <v>3394</v>
      </c>
      <c r="G656" t="s">
        <v>374</v>
      </c>
      <c r="H656" s="1" t="s">
        <v>3393</v>
      </c>
      <c r="I656" t="s">
        <v>1717</v>
      </c>
      <c r="L656" t="s">
        <v>612</v>
      </c>
      <c r="M656" t="s">
        <v>613</v>
      </c>
      <c r="N656" t="s">
        <v>618</v>
      </c>
    </row>
    <row r="657" spans="1:15" x14ac:dyDescent="0.25">
      <c r="A657" t="s">
        <v>450</v>
      </c>
      <c r="B657" t="s">
        <v>3058</v>
      </c>
      <c r="C657" t="s">
        <v>450</v>
      </c>
      <c r="D657" t="s">
        <v>16</v>
      </c>
      <c r="E657" t="s">
        <v>15</v>
      </c>
      <c r="F657" s="161" t="s">
        <v>3394</v>
      </c>
      <c r="G657" t="s">
        <v>3059</v>
      </c>
      <c r="H657" s="1" t="s">
        <v>594</v>
      </c>
      <c r="I657" t="s">
        <v>877</v>
      </c>
      <c r="K657" t="s">
        <v>3060</v>
      </c>
      <c r="L657" t="s">
        <v>612</v>
      </c>
      <c r="M657" t="s">
        <v>613</v>
      </c>
      <c r="N657" t="s">
        <v>618</v>
      </c>
      <c r="O657" s="155">
        <v>45151</v>
      </c>
    </row>
    <row r="658" spans="1:15" x14ac:dyDescent="0.25">
      <c r="A658" t="s">
        <v>3071</v>
      </c>
      <c r="B658" t="s">
        <v>3072</v>
      </c>
      <c r="C658" t="s">
        <v>3071</v>
      </c>
      <c r="D658" t="s">
        <v>16</v>
      </c>
      <c r="F658" s="161" t="s">
        <v>3394</v>
      </c>
      <c r="G658" t="s">
        <v>374</v>
      </c>
      <c r="H658" s="1" t="s">
        <v>3393</v>
      </c>
      <c r="I658" t="s">
        <v>1717</v>
      </c>
      <c r="L658" t="s">
        <v>612</v>
      </c>
      <c r="M658" t="s">
        <v>613</v>
      </c>
      <c r="N658" t="s">
        <v>618</v>
      </c>
    </row>
    <row r="659" spans="1:15" x14ac:dyDescent="0.25">
      <c r="A659" t="s">
        <v>3073</v>
      </c>
      <c r="B659" t="s">
        <v>3074</v>
      </c>
      <c r="C659" t="s">
        <v>3073</v>
      </c>
      <c r="D659" t="s">
        <v>16</v>
      </c>
      <c r="F659" s="161" t="s">
        <v>3394</v>
      </c>
      <c r="G659" t="s">
        <v>836</v>
      </c>
      <c r="H659" s="1" t="s">
        <v>3393</v>
      </c>
      <c r="I659" t="s">
        <v>791</v>
      </c>
      <c r="K659" t="s">
        <v>3075</v>
      </c>
      <c r="L659" t="s">
        <v>612</v>
      </c>
      <c r="M659" t="s">
        <v>613</v>
      </c>
      <c r="N659" t="s">
        <v>655</v>
      </c>
    </row>
    <row r="660" spans="1:15" x14ac:dyDescent="0.25">
      <c r="A660" t="s">
        <v>3076</v>
      </c>
      <c r="B660" t="s">
        <v>3077</v>
      </c>
      <c r="C660" t="s">
        <v>3076</v>
      </c>
      <c r="D660" t="s">
        <v>16</v>
      </c>
      <c r="F660" s="161" t="s">
        <v>3394</v>
      </c>
      <c r="G660" t="s">
        <v>744</v>
      </c>
      <c r="H660" s="1" t="s">
        <v>3393</v>
      </c>
      <c r="I660" t="s">
        <v>1592</v>
      </c>
      <c r="K660" t="s">
        <v>3078</v>
      </c>
      <c r="L660" t="s">
        <v>612</v>
      </c>
      <c r="M660" t="s">
        <v>613</v>
      </c>
      <c r="N660" t="s">
        <v>618</v>
      </c>
    </row>
    <row r="661" spans="1:15" x14ac:dyDescent="0.25">
      <c r="A661" t="s">
        <v>3079</v>
      </c>
      <c r="B661" t="s">
        <v>3080</v>
      </c>
      <c r="C661" t="s">
        <v>3079</v>
      </c>
      <c r="D661" t="s">
        <v>16</v>
      </c>
      <c r="F661" s="161" t="s">
        <v>3394</v>
      </c>
      <c r="G661" t="s">
        <v>168</v>
      </c>
      <c r="H661" s="1" t="s">
        <v>3393</v>
      </c>
      <c r="I661" t="s">
        <v>1248</v>
      </c>
      <c r="L661" t="s">
        <v>612</v>
      </c>
      <c r="M661" t="s">
        <v>613</v>
      </c>
      <c r="N661" t="s">
        <v>655</v>
      </c>
    </row>
    <row r="662" spans="1:15" x14ac:dyDescent="0.25">
      <c r="A662" t="s">
        <v>3081</v>
      </c>
      <c r="B662" t="s">
        <v>3082</v>
      </c>
      <c r="C662" t="s">
        <v>3081</v>
      </c>
      <c r="D662" t="s">
        <v>16</v>
      </c>
      <c r="F662" s="161" t="s">
        <v>3394</v>
      </c>
      <c r="G662" t="s">
        <v>168</v>
      </c>
      <c r="H662" s="1" t="s">
        <v>3393</v>
      </c>
      <c r="I662" t="s">
        <v>796</v>
      </c>
      <c r="K662" t="s">
        <v>3083</v>
      </c>
      <c r="L662" t="s">
        <v>612</v>
      </c>
      <c r="M662" t="s">
        <v>613</v>
      </c>
      <c r="N662" t="s">
        <v>655</v>
      </c>
    </row>
    <row r="663" spans="1:15" x14ac:dyDescent="0.25">
      <c r="A663" t="s">
        <v>3087</v>
      </c>
      <c r="B663" t="s">
        <v>3088</v>
      </c>
      <c r="C663" t="s">
        <v>3087</v>
      </c>
      <c r="D663" t="s">
        <v>16</v>
      </c>
      <c r="F663" s="161" t="s">
        <v>3394</v>
      </c>
      <c r="G663" t="s">
        <v>744</v>
      </c>
      <c r="H663" s="1" t="s">
        <v>3393</v>
      </c>
      <c r="I663" t="s">
        <v>1717</v>
      </c>
      <c r="L663" t="s">
        <v>612</v>
      </c>
      <c r="M663" t="s">
        <v>613</v>
      </c>
      <c r="N663" t="s">
        <v>618</v>
      </c>
    </row>
    <row r="664" spans="1:15" x14ac:dyDescent="0.25">
      <c r="A664" t="s">
        <v>3089</v>
      </c>
      <c r="B664" t="s">
        <v>3090</v>
      </c>
      <c r="C664" t="s">
        <v>3089</v>
      </c>
      <c r="D664" t="s">
        <v>16</v>
      </c>
      <c r="F664" s="161" t="s">
        <v>3394</v>
      </c>
      <c r="G664" t="s">
        <v>616</v>
      </c>
      <c r="H664" s="1" t="s">
        <v>3393</v>
      </c>
      <c r="I664" t="s">
        <v>3091</v>
      </c>
      <c r="L664" t="s">
        <v>612</v>
      </c>
      <c r="M664" t="s">
        <v>613</v>
      </c>
      <c r="N664" t="s">
        <v>618</v>
      </c>
    </row>
    <row r="665" spans="1:15" x14ac:dyDescent="0.25">
      <c r="A665" t="s">
        <v>522</v>
      </c>
      <c r="B665" t="s">
        <v>3100</v>
      </c>
      <c r="C665" t="s">
        <v>522</v>
      </c>
      <c r="D665" t="s">
        <v>16</v>
      </c>
      <c r="E665" t="s">
        <v>15</v>
      </c>
      <c r="F665" s="161" t="s">
        <v>3394</v>
      </c>
      <c r="G665" t="s">
        <v>616</v>
      </c>
      <c r="H665" s="1" t="s">
        <v>593</v>
      </c>
      <c r="I665" t="s">
        <v>3101</v>
      </c>
      <c r="K665" t="s">
        <v>3102</v>
      </c>
      <c r="L665" t="s">
        <v>612</v>
      </c>
      <c r="M665" t="s">
        <v>613</v>
      </c>
      <c r="N665" t="s">
        <v>618</v>
      </c>
      <c r="O665" s="155">
        <v>45151</v>
      </c>
    </row>
    <row r="666" spans="1:15" x14ac:dyDescent="0.25">
      <c r="A666" t="s">
        <v>199</v>
      </c>
      <c r="B666" t="s">
        <v>3103</v>
      </c>
      <c r="C666" t="s">
        <v>199</v>
      </c>
      <c r="D666" t="s">
        <v>16</v>
      </c>
      <c r="E666" t="s">
        <v>15</v>
      </c>
      <c r="F666" s="161" t="s">
        <v>3394</v>
      </c>
      <c r="G666" t="s">
        <v>1033</v>
      </c>
      <c r="H666" s="1" t="s">
        <v>3393</v>
      </c>
      <c r="I666" t="s">
        <v>3104</v>
      </c>
      <c r="K666" t="s">
        <v>3105</v>
      </c>
      <c r="L666" t="s">
        <v>612</v>
      </c>
      <c r="M666" t="s">
        <v>613</v>
      </c>
      <c r="N666" t="s">
        <v>655</v>
      </c>
      <c r="O666" s="155">
        <v>45463</v>
      </c>
    </row>
    <row r="667" spans="1:15" x14ac:dyDescent="0.25">
      <c r="A667" t="s">
        <v>131</v>
      </c>
      <c r="B667" t="s">
        <v>3109</v>
      </c>
      <c r="C667" t="s">
        <v>131</v>
      </c>
      <c r="D667" t="s">
        <v>16</v>
      </c>
      <c r="E667" t="s">
        <v>15</v>
      </c>
      <c r="F667" s="161" t="s">
        <v>3394</v>
      </c>
      <c r="G667" t="s">
        <v>700</v>
      </c>
      <c r="H667" s="1" t="s">
        <v>587</v>
      </c>
      <c r="I667" t="s">
        <v>3110</v>
      </c>
      <c r="K667" t="s">
        <v>3111</v>
      </c>
      <c r="L667" t="s">
        <v>612</v>
      </c>
      <c r="M667" t="s">
        <v>613</v>
      </c>
      <c r="N667" t="s">
        <v>618</v>
      </c>
      <c r="O667" s="155">
        <v>45609</v>
      </c>
    </row>
    <row r="668" spans="1:15" x14ac:dyDescent="0.25">
      <c r="A668" t="s">
        <v>465</v>
      </c>
      <c r="B668" t="s">
        <v>3112</v>
      </c>
      <c r="C668" t="s">
        <v>465</v>
      </c>
      <c r="D668" t="s">
        <v>16</v>
      </c>
      <c r="E668" t="s">
        <v>15</v>
      </c>
      <c r="F668" s="161" t="s">
        <v>3394</v>
      </c>
      <c r="G668" t="s">
        <v>840</v>
      </c>
      <c r="H668" s="1" t="s">
        <v>594</v>
      </c>
      <c r="I668" t="s">
        <v>3113</v>
      </c>
      <c r="K668" t="s">
        <v>3114</v>
      </c>
      <c r="L668" t="s">
        <v>612</v>
      </c>
      <c r="M668" t="s">
        <v>613</v>
      </c>
      <c r="N668" t="s">
        <v>618</v>
      </c>
      <c r="O668" s="155">
        <v>45151</v>
      </c>
    </row>
    <row r="669" spans="1:15" x14ac:dyDescent="0.25">
      <c r="A669" t="s">
        <v>3115</v>
      </c>
      <c r="B669" t="s">
        <v>3116</v>
      </c>
      <c r="C669" t="s">
        <v>3115</v>
      </c>
      <c r="D669" t="s">
        <v>16</v>
      </c>
      <c r="F669" s="161" t="s">
        <v>3394</v>
      </c>
      <c r="G669" t="s">
        <v>752</v>
      </c>
      <c r="H669" s="1" t="s">
        <v>3393</v>
      </c>
      <c r="I669" t="s">
        <v>2667</v>
      </c>
      <c r="K669" t="s">
        <v>3117</v>
      </c>
      <c r="L669" t="s">
        <v>612</v>
      </c>
      <c r="M669" t="s">
        <v>613</v>
      </c>
      <c r="N669" t="s">
        <v>618</v>
      </c>
    </row>
    <row r="670" spans="1:15" x14ac:dyDescent="0.25">
      <c r="A670" t="s">
        <v>3120</v>
      </c>
      <c r="B670" t="s">
        <v>3121</v>
      </c>
      <c r="C670" t="s">
        <v>3120</v>
      </c>
      <c r="D670" t="s">
        <v>16</v>
      </c>
      <c r="F670" s="161" t="s">
        <v>3394</v>
      </c>
      <c r="H670" s="1" t="s">
        <v>3393</v>
      </c>
      <c r="K670" t="s">
        <v>3122</v>
      </c>
      <c r="L670" t="s">
        <v>612</v>
      </c>
      <c r="M670" t="s">
        <v>613</v>
      </c>
      <c r="N670" t="s">
        <v>618</v>
      </c>
    </row>
    <row r="671" spans="1:15" x14ac:dyDescent="0.25">
      <c r="A671" t="s">
        <v>3123</v>
      </c>
      <c r="B671" t="s">
        <v>3124</v>
      </c>
      <c r="C671" t="s">
        <v>3123</v>
      </c>
      <c r="D671" t="s">
        <v>16</v>
      </c>
      <c r="F671" s="161" t="s">
        <v>3394</v>
      </c>
      <c r="G671" t="s">
        <v>700</v>
      </c>
      <c r="H671" s="1" t="s">
        <v>3393</v>
      </c>
      <c r="I671" t="s">
        <v>2190</v>
      </c>
      <c r="K671" t="s">
        <v>3125</v>
      </c>
      <c r="L671" t="s">
        <v>612</v>
      </c>
      <c r="M671" t="s">
        <v>613</v>
      </c>
      <c r="N671" t="s">
        <v>618</v>
      </c>
    </row>
    <row r="672" spans="1:15" x14ac:dyDescent="0.25">
      <c r="A672" t="s">
        <v>3126</v>
      </c>
      <c r="B672" t="s">
        <v>3127</v>
      </c>
      <c r="C672" t="s">
        <v>3126</v>
      </c>
      <c r="D672" t="s">
        <v>16</v>
      </c>
      <c r="F672" s="161" t="s">
        <v>3394</v>
      </c>
      <c r="G672" t="s">
        <v>744</v>
      </c>
      <c r="H672" s="1" t="s">
        <v>3393</v>
      </c>
      <c r="I672" t="s">
        <v>3128</v>
      </c>
      <c r="L672" t="s">
        <v>612</v>
      </c>
      <c r="M672" t="s">
        <v>613</v>
      </c>
      <c r="N672" t="s">
        <v>618</v>
      </c>
    </row>
    <row r="673" spans="1:15" x14ac:dyDescent="0.25">
      <c r="A673" t="s">
        <v>3132</v>
      </c>
      <c r="B673" t="s">
        <v>3133</v>
      </c>
      <c r="C673" t="s">
        <v>3132</v>
      </c>
      <c r="D673" t="s">
        <v>16</v>
      </c>
      <c r="F673" s="161" t="s">
        <v>3394</v>
      </c>
      <c r="G673" t="s">
        <v>616</v>
      </c>
      <c r="H673" s="1" t="s">
        <v>3393</v>
      </c>
      <c r="I673" t="s">
        <v>3134</v>
      </c>
      <c r="L673" t="s">
        <v>612</v>
      </c>
      <c r="M673" t="s">
        <v>613</v>
      </c>
      <c r="N673" t="s">
        <v>618</v>
      </c>
    </row>
    <row r="674" spans="1:15" x14ac:dyDescent="0.25">
      <c r="A674" t="s">
        <v>3135</v>
      </c>
      <c r="B674" t="s">
        <v>3136</v>
      </c>
      <c r="C674" t="s">
        <v>3135</v>
      </c>
      <c r="D674" t="s">
        <v>16</v>
      </c>
      <c r="F674" s="161" t="s">
        <v>3394</v>
      </c>
      <c r="G674" t="s">
        <v>67</v>
      </c>
      <c r="H674" s="1" t="s">
        <v>3393</v>
      </c>
      <c r="I674" t="s">
        <v>1653</v>
      </c>
      <c r="K674" t="s">
        <v>3137</v>
      </c>
      <c r="L674" t="s">
        <v>612</v>
      </c>
      <c r="M674" t="s">
        <v>613</v>
      </c>
      <c r="N674" t="s">
        <v>655</v>
      </c>
    </row>
    <row r="675" spans="1:15" x14ac:dyDescent="0.25">
      <c r="A675" t="s">
        <v>298</v>
      </c>
      <c r="B675" t="s">
        <v>3145</v>
      </c>
      <c r="C675" t="s">
        <v>298</v>
      </c>
      <c r="D675" t="s">
        <v>16</v>
      </c>
      <c r="E675" t="s">
        <v>15</v>
      </c>
      <c r="F675" s="161" t="s">
        <v>3394</v>
      </c>
      <c r="G675" t="s">
        <v>3146</v>
      </c>
      <c r="H675" s="1" t="s">
        <v>3393</v>
      </c>
      <c r="I675" t="s">
        <v>791</v>
      </c>
      <c r="K675" t="s">
        <v>3147</v>
      </c>
      <c r="L675" t="s">
        <v>612</v>
      </c>
      <c r="M675" t="s">
        <v>613</v>
      </c>
      <c r="N675" t="s">
        <v>655</v>
      </c>
      <c r="O675" s="155">
        <v>41371</v>
      </c>
    </row>
    <row r="676" spans="1:15" x14ac:dyDescent="0.25">
      <c r="A676" t="s">
        <v>3148</v>
      </c>
      <c r="B676" t="s">
        <v>3149</v>
      </c>
      <c r="C676" t="s">
        <v>3148</v>
      </c>
      <c r="D676" t="s">
        <v>16</v>
      </c>
      <c r="F676" s="161" t="s">
        <v>3394</v>
      </c>
      <c r="G676" t="s">
        <v>749</v>
      </c>
      <c r="H676" s="1" t="s">
        <v>3393</v>
      </c>
      <c r="I676" t="s">
        <v>3150</v>
      </c>
      <c r="K676" t="s">
        <v>3151</v>
      </c>
      <c r="L676" t="s">
        <v>612</v>
      </c>
      <c r="M676" t="s">
        <v>613</v>
      </c>
      <c r="N676" t="s">
        <v>618</v>
      </c>
    </row>
    <row r="677" spans="1:15" x14ac:dyDescent="0.25">
      <c r="A677" t="s">
        <v>299</v>
      </c>
      <c r="B677" t="s">
        <v>3155</v>
      </c>
      <c r="C677" t="s">
        <v>299</v>
      </c>
      <c r="D677" t="s">
        <v>16</v>
      </c>
      <c r="E677" t="s">
        <v>15</v>
      </c>
      <c r="F677" s="161" t="s">
        <v>3394</v>
      </c>
      <c r="G677" t="s">
        <v>914</v>
      </c>
      <c r="H677" s="1" t="s">
        <v>3393</v>
      </c>
      <c r="I677" t="s">
        <v>769</v>
      </c>
      <c r="K677" t="s">
        <v>3156</v>
      </c>
      <c r="L677" t="s">
        <v>612</v>
      </c>
      <c r="M677" t="s">
        <v>613</v>
      </c>
      <c r="N677" t="s">
        <v>655</v>
      </c>
      <c r="O677" s="155">
        <v>43161</v>
      </c>
    </row>
    <row r="678" spans="1:15" x14ac:dyDescent="0.25">
      <c r="A678" t="s">
        <v>3157</v>
      </c>
      <c r="B678" t="s">
        <v>3158</v>
      </c>
      <c r="C678" t="s">
        <v>3157</v>
      </c>
      <c r="D678" t="s">
        <v>16</v>
      </c>
      <c r="F678" s="161" t="s">
        <v>3394</v>
      </c>
      <c r="G678" t="s">
        <v>749</v>
      </c>
      <c r="H678" s="1" t="s">
        <v>3393</v>
      </c>
      <c r="I678" t="s">
        <v>3159</v>
      </c>
      <c r="K678" t="s">
        <v>3160</v>
      </c>
      <c r="L678" t="s">
        <v>612</v>
      </c>
      <c r="M678" t="s">
        <v>613</v>
      </c>
      <c r="N678" t="s">
        <v>618</v>
      </c>
    </row>
    <row r="679" spans="1:15" x14ac:dyDescent="0.25">
      <c r="A679" t="s">
        <v>387</v>
      </c>
      <c r="B679" t="s">
        <v>3172</v>
      </c>
      <c r="C679" t="s">
        <v>387</v>
      </c>
      <c r="D679" t="s">
        <v>16</v>
      </c>
      <c r="E679" t="s">
        <v>15</v>
      </c>
      <c r="F679" s="161" t="s">
        <v>3394</v>
      </c>
      <c r="G679" t="s">
        <v>1066</v>
      </c>
      <c r="H679" s="1" t="s">
        <v>111</v>
      </c>
      <c r="I679" t="s">
        <v>1257</v>
      </c>
      <c r="K679" t="s">
        <v>3173</v>
      </c>
      <c r="L679" t="s">
        <v>612</v>
      </c>
      <c r="M679" t="s">
        <v>613</v>
      </c>
      <c r="N679" t="s">
        <v>618</v>
      </c>
      <c r="O679" s="155" t="s">
        <v>388</v>
      </c>
    </row>
    <row r="680" spans="1:15" x14ac:dyDescent="0.25">
      <c r="A680" t="s">
        <v>3174</v>
      </c>
      <c r="B680" t="s">
        <v>3175</v>
      </c>
      <c r="C680" t="s">
        <v>3174</v>
      </c>
      <c r="D680" t="s">
        <v>16</v>
      </c>
      <c r="F680" s="161" t="s">
        <v>3394</v>
      </c>
      <c r="G680" t="s">
        <v>752</v>
      </c>
      <c r="H680" s="1" t="s">
        <v>3393</v>
      </c>
      <c r="I680" t="s">
        <v>3176</v>
      </c>
      <c r="K680" t="s">
        <v>3177</v>
      </c>
      <c r="L680" t="s">
        <v>612</v>
      </c>
      <c r="M680" t="s">
        <v>613</v>
      </c>
      <c r="N680" t="s">
        <v>618</v>
      </c>
    </row>
    <row r="681" spans="1:15" x14ac:dyDescent="0.25">
      <c r="A681" t="s">
        <v>3178</v>
      </c>
      <c r="B681" t="s">
        <v>3179</v>
      </c>
      <c r="C681" t="s">
        <v>3178</v>
      </c>
      <c r="D681" t="s">
        <v>16</v>
      </c>
      <c r="F681" s="161" t="s">
        <v>3394</v>
      </c>
      <c r="G681" t="s">
        <v>700</v>
      </c>
      <c r="H681" s="1" t="s">
        <v>3393</v>
      </c>
      <c r="I681" t="s">
        <v>2319</v>
      </c>
      <c r="L681" t="s">
        <v>612</v>
      </c>
      <c r="M681" t="s">
        <v>613</v>
      </c>
      <c r="N681" t="s">
        <v>618</v>
      </c>
    </row>
    <row r="682" spans="1:15" x14ac:dyDescent="0.25">
      <c r="A682" t="s">
        <v>3180</v>
      </c>
      <c r="B682" t="s">
        <v>3181</v>
      </c>
      <c r="C682" t="s">
        <v>3180</v>
      </c>
      <c r="D682" t="s">
        <v>16</v>
      </c>
      <c r="F682" s="161" t="s">
        <v>3394</v>
      </c>
      <c r="G682" t="s">
        <v>752</v>
      </c>
      <c r="H682" s="1" t="s">
        <v>3393</v>
      </c>
      <c r="I682" t="s">
        <v>1435</v>
      </c>
      <c r="K682" t="s">
        <v>3182</v>
      </c>
      <c r="L682" t="s">
        <v>612</v>
      </c>
      <c r="M682" t="s">
        <v>613</v>
      </c>
      <c r="N682" t="s">
        <v>618</v>
      </c>
    </row>
    <row r="683" spans="1:15" x14ac:dyDescent="0.25">
      <c r="A683" t="s">
        <v>436</v>
      </c>
      <c r="B683" t="s">
        <v>3187</v>
      </c>
      <c r="C683" t="s">
        <v>436</v>
      </c>
      <c r="D683" t="s">
        <v>16</v>
      </c>
      <c r="E683" t="s">
        <v>19</v>
      </c>
      <c r="F683" s="161" t="s">
        <v>3394</v>
      </c>
      <c r="G683" t="s">
        <v>640</v>
      </c>
      <c r="H683" s="1" t="s">
        <v>111</v>
      </c>
      <c r="I683" t="s">
        <v>1092</v>
      </c>
      <c r="K683" t="s">
        <v>3188</v>
      </c>
      <c r="L683" t="s">
        <v>612</v>
      </c>
      <c r="M683" t="s">
        <v>613</v>
      </c>
      <c r="N683" t="s">
        <v>618</v>
      </c>
      <c r="O683" s="155">
        <v>45151</v>
      </c>
    </row>
    <row r="684" spans="1:15" x14ac:dyDescent="0.25">
      <c r="A684" t="s">
        <v>3189</v>
      </c>
      <c r="B684" t="s">
        <v>3190</v>
      </c>
      <c r="C684" t="s">
        <v>3189</v>
      </c>
      <c r="D684" t="s">
        <v>16</v>
      </c>
      <c r="F684" s="161" t="s">
        <v>3394</v>
      </c>
      <c r="G684" t="s">
        <v>640</v>
      </c>
      <c r="H684" s="1" t="s">
        <v>3393</v>
      </c>
      <c r="I684" t="s">
        <v>3191</v>
      </c>
      <c r="K684" t="s">
        <v>3192</v>
      </c>
      <c r="L684" t="s">
        <v>612</v>
      </c>
      <c r="M684" t="s">
        <v>613</v>
      </c>
      <c r="N684" t="s">
        <v>618</v>
      </c>
    </row>
    <row r="685" spans="1:15" x14ac:dyDescent="0.25">
      <c r="A685" t="s">
        <v>486</v>
      </c>
      <c r="B685" t="s">
        <v>3196</v>
      </c>
      <c r="C685" t="s">
        <v>486</v>
      </c>
      <c r="D685" t="s">
        <v>16</v>
      </c>
      <c r="E685" t="s">
        <v>15</v>
      </c>
      <c r="F685" s="161" t="s">
        <v>3394</v>
      </c>
      <c r="G685" t="s">
        <v>744</v>
      </c>
      <c r="H685" s="1" t="s">
        <v>590</v>
      </c>
      <c r="I685" t="s">
        <v>2755</v>
      </c>
      <c r="L685" t="s">
        <v>612</v>
      </c>
      <c r="M685" t="s">
        <v>613</v>
      </c>
      <c r="N685" t="s">
        <v>618</v>
      </c>
      <c r="O685" s="155">
        <v>46154</v>
      </c>
    </row>
    <row r="686" spans="1:15" x14ac:dyDescent="0.25">
      <c r="A686" t="s">
        <v>3197</v>
      </c>
      <c r="B686" t="s">
        <v>3198</v>
      </c>
      <c r="C686" t="s">
        <v>3197</v>
      </c>
      <c r="D686" t="s">
        <v>16</v>
      </c>
      <c r="F686" s="161" t="s">
        <v>3394</v>
      </c>
      <c r="G686" t="s">
        <v>1072</v>
      </c>
      <c r="H686" s="1" t="s">
        <v>3393</v>
      </c>
      <c r="I686" t="s">
        <v>3199</v>
      </c>
      <c r="K686" t="s">
        <v>3200</v>
      </c>
      <c r="L686" t="s">
        <v>612</v>
      </c>
      <c r="M686" t="s">
        <v>613</v>
      </c>
      <c r="N686" t="s">
        <v>618</v>
      </c>
    </row>
    <row r="687" spans="1:15" x14ac:dyDescent="0.25">
      <c r="A687" t="s">
        <v>3201</v>
      </c>
      <c r="B687" t="s">
        <v>3202</v>
      </c>
      <c r="C687" t="s">
        <v>3201</v>
      </c>
      <c r="D687" t="s">
        <v>16</v>
      </c>
      <c r="F687" s="161" t="s">
        <v>3394</v>
      </c>
      <c r="G687" t="s">
        <v>700</v>
      </c>
      <c r="H687" s="1" t="s">
        <v>3393</v>
      </c>
      <c r="I687" t="s">
        <v>3199</v>
      </c>
      <c r="K687" t="s">
        <v>3203</v>
      </c>
      <c r="L687" t="s">
        <v>612</v>
      </c>
      <c r="M687" t="s">
        <v>613</v>
      </c>
      <c r="N687" t="s">
        <v>618</v>
      </c>
    </row>
    <row r="688" spans="1:15" x14ac:dyDescent="0.25">
      <c r="A688" t="s">
        <v>3204</v>
      </c>
      <c r="B688" t="s">
        <v>3205</v>
      </c>
      <c r="C688" t="s">
        <v>3204</v>
      </c>
      <c r="D688" t="s">
        <v>16</v>
      </c>
      <c r="F688" s="161" t="s">
        <v>3394</v>
      </c>
      <c r="G688" t="s">
        <v>102</v>
      </c>
      <c r="H688" s="1" t="s">
        <v>3393</v>
      </c>
      <c r="I688" t="s">
        <v>2274</v>
      </c>
      <c r="L688" t="s">
        <v>612</v>
      </c>
      <c r="M688" t="s">
        <v>613</v>
      </c>
      <c r="N688" t="s">
        <v>655</v>
      </c>
    </row>
    <row r="689" spans="1:15" x14ac:dyDescent="0.25">
      <c r="A689" t="s">
        <v>393</v>
      </c>
      <c r="B689" t="s">
        <v>3206</v>
      </c>
      <c r="C689" t="s">
        <v>393</v>
      </c>
      <c r="D689" t="s">
        <v>16</v>
      </c>
      <c r="E689" t="s">
        <v>15</v>
      </c>
      <c r="F689" s="161" t="s">
        <v>3394</v>
      </c>
      <c r="G689" t="s">
        <v>1190</v>
      </c>
      <c r="H689" s="1" t="s">
        <v>595</v>
      </c>
      <c r="I689" t="s">
        <v>3207</v>
      </c>
      <c r="K689" t="s">
        <v>3208</v>
      </c>
      <c r="L689" t="s">
        <v>612</v>
      </c>
      <c r="M689" t="s">
        <v>613</v>
      </c>
      <c r="N689" t="s">
        <v>618</v>
      </c>
      <c r="O689" s="155">
        <v>45151</v>
      </c>
    </row>
    <row r="690" spans="1:15" x14ac:dyDescent="0.25">
      <c r="A690" t="s">
        <v>3209</v>
      </c>
      <c r="B690" t="s">
        <v>3210</v>
      </c>
      <c r="C690" t="s">
        <v>3209</v>
      </c>
      <c r="D690" t="s">
        <v>16</v>
      </c>
      <c r="F690" s="161" t="s">
        <v>3394</v>
      </c>
      <c r="G690" t="s">
        <v>752</v>
      </c>
      <c r="H690" s="1" t="s">
        <v>3393</v>
      </c>
      <c r="I690" t="s">
        <v>1825</v>
      </c>
      <c r="L690" t="s">
        <v>612</v>
      </c>
      <c r="M690" t="s">
        <v>613</v>
      </c>
      <c r="N690" t="s">
        <v>618</v>
      </c>
    </row>
    <row r="691" spans="1:15" x14ac:dyDescent="0.25">
      <c r="A691" t="s">
        <v>3211</v>
      </c>
      <c r="B691" t="s">
        <v>3212</v>
      </c>
      <c r="C691" t="s">
        <v>3211</v>
      </c>
      <c r="D691" t="s">
        <v>16</v>
      </c>
      <c r="F691" s="161" t="s">
        <v>3394</v>
      </c>
      <c r="G691" t="s">
        <v>749</v>
      </c>
      <c r="H691" s="1" t="s">
        <v>3393</v>
      </c>
      <c r="I691" t="s">
        <v>1077</v>
      </c>
      <c r="L691" t="s">
        <v>612</v>
      </c>
      <c r="M691" t="s">
        <v>613</v>
      </c>
      <c r="N691" t="s">
        <v>618</v>
      </c>
    </row>
    <row r="692" spans="1:15" x14ac:dyDescent="0.25">
      <c r="A692" t="s">
        <v>58</v>
      </c>
      <c r="B692" t="s">
        <v>3216</v>
      </c>
      <c r="C692" t="s">
        <v>58</v>
      </c>
      <c r="D692" t="s">
        <v>16</v>
      </c>
      <c r="E692" t="s">
        <v>19</v>
      </c>
      <c r="F692" s="161" t="s">
        <v>3394</v>
      </c>
      <c r="G692" t="s">
        <v>1190</v>
      </c>
      <c r="H692" s="1" t="s">
        <v>595</v>
      </c>
      <c r="I692" t="s">
        <v>3217</v>
      </c>
      <c r="K692" t="s">
        <v>3218</v>
      </c>
      <c r="L692" t="s">
        <v>612</v>
      </c>
      <c r="M692" t="s">
        <v>613</v>
      </c>
      <c r="N692" t="s">
        <v>618</v>
      </c>
      <c r="O692" s="155">
        <v>0</v>
      </c>
    </row>
    <row r="693" spans="1:15" x14ac:dyDescent="0.25">
      <c r="A693" t="s">
        <v>3219</v>
      </c>
      <c r="B693" t="s">
        <v>3220</v>
      </c>
      <c r="C693" t="s">
        <v>3219</v>
      </c>
      <c r="D693" t="s">
        <v>16</v>
      </c>
      <c r="F693" s="161" t="s">
        <v>3394</v>
      </c>
      <c r="G693" t="s">
        <v>653</v>
      </c>
      <c r="H693" s="1" t="s">
        <v>3393</v>
      </c>
      <c r="I693" t="s">
        <v>3221</v>
      </c>
      <c r="L693" t="s">
        <v>612</v>
      </c>
      <c r="M693" t="s">
        <v>613</v>
      </c>
      <c r="N693" t="s">
        <v>655</v>
      </c>
    </row>
    <row r="694" spans="1:15" x14ac:dyDescent="0.25">
      <c r="A694" t="s">
        <v>578</v>
      </c>
      <c r="B694" t="s">
        <v>3222</v>
      </c>
      <c r="C694" t="s">
        <v>578</v>
      </c>
      <c r="D694" t="s">
        <v>16</v>
      </c>
      <c r="E694" t="s">
        <v>15</v>
      </c>
      <c r="F694" s="161" t="s">
        <v>3394</v>
      </c>
      <c r="G694" t="s">
        <v>640</v>
      </c>
      <c r="H694" s="1" t="s">
        <v>111</v>
      </c>
      <c r="I694" t="s">
        <v>3223</v>
      </c>
      <c r="K694" t="s">
        <v>3224</v>
      </c>
      <c r="L694" t="s">
        <v>612</v>
      </c>
      <c r="M694" t="s">
        <v>613</v>
      </c>
      <c r="N694" t="s">
        <v>618</v>
      </c>
      <c r="O694" s="155">
        <v>45589</v>
      </c>
    </row>
    <row r="695" spans="1:15" x14ac:dyDescent="0.25">
      <c r="A695" t="s">
        <v>3225</v>
      </c>
      <c r="B695" t="s">
        <v>3226</v>
      </c>
      <c r="C695" t="s">
        <v>3225</v>
      </c>
      <c r="D695" t="s">
        <v>16</v>
      </c>
      <c r="F695" s="161" t="s">
        <v>3394</v>
      </c>
      <c r="G695" t="s">
        <v>749</v>
      </c>
      <c r="H695" s="1" t="s">
        <v>3393</v>
      </c>
      <c r="I695" t="s">
        <v>1038</v>
      </c>
      <c r="L695" t="s">
        <v>612</v>
      </c>
      <c r="M695" t="s">
        <v>613</v>
      </c>
      <c r="N695" t="s">
        <v>618</v>
      </c>
    </row>
    <row r="696" spans="1:15" x14ac:dyDescent="0.25">
      <c r="A696" t="s">
        <v>3227</v>
      </c>
      <c r="B696" t="s">
        <v>3228</v>
      </c>
      <c r="C696" t="s">
        <v>3227</v>
      </c>
      <c r="D696" t="s">
        <v>16</v>
      </c>
      <c r="F696" s="161" t="s">
        <v>3394</v>
      </c>
      <c r="G696" t="s">
        <v>744</v>
      </c>
      <c r="H696" s="1" t="s">
        <v>3393</v>
      </c>
      <c r="I696" t="s">
        <v>1717</v>
      </c>
      <c r="L696" t="s">
        <v>612</v>
      </c>
      <c r="M696" t="s">
        <v>613</v>
      </c>
      <c r="N696" t="s">
        <v>618</v>
      </c>
    </row>
    <row r="697" spans="1:15" x14ac:dyDescent="0.25">
      <c r="A697" t="s">
        <v>520</v>
      </c>
      <c r="B697" t="s">
        <v>3229</v>
      </c>
      <c r="C697" t="s">
        <v>520</v>
      </c>
      <c r="D697" t="s">
        <v>16</v>
      </c>
      <c r="E697" t="s">
        <v>15</v>
      </c>
      <c r="F697" s="161" t="s">
        <v>3394</v>
      </c>
      <c r="G697" t="s">
        <v>640</v>
      </c>
      <c r="H697" s="1" t="s">
        <v>111</v>
      </c>
      <c r="I697" t="s">
        <v>641</v>
      </c>
      <c r="K697" t="s">
        <v>3230</v>
      </c>
      <c r="L697" t="s">
        <v>612</v>
      </c>
      <c r="M697" t="s">
        <v>613</v>
      </c>
      <c r="N697" t="s">
        <v>618</v>
      </c>
      <c r="O697" s="155">
        <v>45757</v>
      </c>
    </row>
    <row r="698" spans="1:15" x14ac:dyDescent="0.25">
      <c r="A698" t="s">
        <v>538</v>
      </c>
      <c r="B698" t="s">
        <v>3234</v>
      </c>
      <c r="C698" t="s">
        <v>538</v>
      </c>
      <c r="D698" t="s">
        <v>16</v>
      </c>
      <c r="E698" t="s">
        <v>15</v>
      </c>
      <c r="F698" s="161" t="s">
        <v>3394</v>
      </c>
      <c r="G698" t="s">
        <v>1012</v>
      </c>
      <c r="H698" s="1" t="s">
        <v>3393</v>
      </c>
      <c r="I698" t="s">
        <v>948</v>
      </c>
      <c r="K698" t="s">
        <v>3235</v>
      </c>
      <c r="L698" t="s">
        <v>612</v>
      </c>
      <c r="M698" t="s">
        <v>613</v>
      </c>
      <c r="N698" t="s">
        <v>618</v>
      </c>
      <c r="O698" s="155">
        <v>45151</v>
      </c>
    </row>
    <row r="699" spans="1:15" x14ac:dyDescent="0.25">
      <c r="A699" t="s">
        <v>3240</v>
      </c>
      <c r="B699" t="s">
        <v>3241</v>
      </c>
      <c r="C699" t="s">
        <v>3240</v>
      </c>
      <c r="D699" t="s">
        <v>16</v>
      </c>
      <c r="F699" s="161" t="s">
        <v>3394</v>
      </c>
      <c r="H699" s="1" t="s">
        <v>3393</v>
      </c>
      <c r="K699" t="s">
        <v>3242</v>
      </c>
      <c r="L699" t="s">
        <v>612</v>
      </c>
      <c r="M699" t="s">
        <v>613</v>
      </c>
      <c r="N699" t="s">
        <v>618</v>
      </c>
    </row>
    <row r="700" spans="1:15" x14ac:dyDescent="0.25">
      <c r="A700" t="s">
        <v>283</v>
      </c>
      <c r="B700" t="s">
        <v>3243</v>
      </c>
      <c r="C700" t="s">
        <v>283</v>
      </c>
      <c r="D700" t="s">
        <v>16</v>
      </c>
      <c r="E700" t="s">
        <v>15</v>
      </c>
      <c r="F700" s="161" t="s">
        <v>3394</v>
      </c>
      <c r="G700" t="s">
        <v>829</v>
      </c>
      <c r="H700" s="1" t="s">
        <v>3393</v>
      </c>
      <c r="I700" t="s">
        <v>791</v>
      </c>
      <c r="K700" t="s">
        <v>3244</v>
      </c>
      <c r="L700" t="s">
        <v>612</v>
      </c>
      <c r="M700" t="s">
        <v>613</v>
      </c>
      <c r="N700" t="s">
        <v>655</v>
      </c>
      <c r="O700" s="155">
        <v>41401</v>
      </c>
    </row>
    <row r="701" spans="1:15" x14ac:dyDescent="0.25">
      <c r="A701" t="s">
        <v>141</v>
      </c>
      <c r="B701" t="s">
        <v>3246</v>
      </c>
      <c r="C701" t="s">
        <v>141</v>
      </c>
      <c r="D701" t="s">
        <v>16</v>
      </c>
      <c r="E701" t="s">
        <v>15</v>
      </c>
      <c r="F701" s="161" t="s">
        <v>3394</v>
      </c>
      <c r="G701" t="s">
        <v>768</v>
      </c>
      <c r="H701" s="1" t="s">
        <v>3393</v>
      </c>
      <c r="I701" t="s">
        <v>769</v>
      </c>
      <c r="K701" t="s">
        <v>3247</v>
      </c>
      <c r="L701" t="s">
        <v>612</v>
      </c>
      <c r="M701" t="s">
        <v>613</v>
      </c>
      <c r="N701" t="s">
        <v>655</v>
      </c>
      <c r="O701" s="155">
        <v>45712</v>
      </c>
    </row>
    <row r="702" spans="1:15" x14ac:dyDescent="0.25">
      <c r="A702" t="s">
        <v>3251</v>
      </c>
      <c r="B702" t="s">
        <v>3252</v>
      </c>
      <c r="C702" t="s">
        <v>3251</v>
      </c>
      <c r="D702" t="s">
        <v>16</v>
      </c>
      <c r="F702" s="161" t="s">
        <v>3394</v>
      </c>
      <c r="H702" s="1" t="s">
        <v>3393</v>
      </c>
      <c r="K702" t="s">
        <v>3253</v>
      </c>
      <c r="L702" t="s">
        <v>612</v>
      </c>
      <c r="M702" t="s">
        <v>613</v>
      </c>
      <c r="N702" t="s">
        <v>618</v>
      </c>
    </row>
    <row r="703" spans="1:15" x14ac:dyDescent="0.25">
      <c r="A703" t="s">
        <v>439</v>
      </c>
      <c r="B703" t="s">
        <v>3254</v>
      </c>
      <c r="C703" t="s">
        <v>439</v>
      </c>
      <c r="D703" t="s">
        <v>16</v>
      </c>
      <c r="E703" t="s">
        <v>19</v>
      </c>
      <c r="F703" s="161" t="s">
        <v>3394</v>
      </c>
      <c r="G703" t="s">
        <v>640</v>
      </c>
      <c r="H703" s="1" t="s">
        <v>111</v>
      </c>
      <c r="I703" t="s">
        <v>3255</v>
      </c>
      <c r="K703" t="s">
        <v>3256</v>
      </c>
      <c r="L703" t="s">
        <v>612</v>
      </c>
      <c r="M703" t="s">
        <v>613</v>
      </c>
      <c r="N703" t="s">
        <v>618</v>
      </c>
      <c r="O703" s="155">
        <v>45341</v>
      </c>
    </row>
    <row r="704" spans="1:15" x14ac:dyDescent="0.25">
      <c r="A704" t="s">
        <v>379</v>
      </c>
      <c r="B704" t="s">
        <v>3257</v>
      </c>
      <c r="C704" t="s">
        <v>379</v>
      </c>
      <c r="D704" t="s">
        <v>16</v>
      </c>
      <c r="E704" t="s">
        <v>15</v>
      </c>
      <c r="F704" s="161" t="s">
        <v>3394</v>
      </c>
      <c r="G704" t="s">
        <v>752</v>
      </c>
      <c r="H704" s="1" t="s">
        <v>596</v>
      </c>
      <c r="I704" t="s">
        <v>662</v>
      </c>
      <c r="K704" t="s">
        <v>3258</v>
      </c>
      <c r="L704" t="s">
        <v>612</v>
      </c>
      <c r="M704" t="s">
        <v>613</v>
      </c>
      <c r="N704" t="s">
        <v>618</v>
      </c>
      <c r="O704" s="155">
        <v>45463</v>
      </c>
    </row>
    <row r="705" spans="1:15" x14ac:dyDescent="0.25">
      <c r="A705" t="s">
        <v>3259</v>
      </c>
      <c r="B705" t="s">
        <v>3260</v>
      </c>
      <c r="C705" t="s">
        <v>3259</v>
      </c>
      <c r="D705" t="s">
        <v>16</v>
      </c>
      <c r="F705" s="161" t="s">
        <v>3394</v>
      </c>
      <c r="G705" t="s">
        <v>700</v>
      </c>
      <c r="H705" s="1" t="s">
        <v>3393</v>
      </c>
      <c r="I705" t="s">
        <v>3261</v>
      </c>
      <c r="K705" t="s">
        <v>3262</v>
      </c>
      <c r="L705" t="s">
        <v>612</v>
      </c>
      <c r="M705" t="s">
        <v>613</v>
      </c>
      <c r="N705" t="s">
        <v>618</v>
      </c>
    </row>
    <row r="706" spans="1:15" x14ac:dyDescent="0.25">
      <c r="A706" t="s">
        <v>3263</v>
      </c>
      <c r="B706" t="s">
        <v>3264</v>
      </c>
      <c r="C706" t="s">
        <v>3263</v>
      </c>
      <c r="D706" t="s">
        <v>16</v>
      </c>
      <c r="F706" s="161" t="s">
        <v>3394</v>
      </c>
      <c r="G706" t="s">
        <v>744</v>
      </c>
      <c r="H706" s="1" t="s">
        <v>3393</v>
      </c>
      <c r="I706" t="s">
        <v>3265</v>
      </c>
      <c r="K706" t="s">
        <v>3266</v>
      </c>
      <c r="L706" t="s">
        <v>612</v>
      </c>
      <c r="M706" t="s">
        <v>613</v>
      </c>
      <c r="N706" t="s">
        <v>618</v>
      </c>
    </row>
    <row r="707" spans="1:15" x14ac:dyDescent="0.25">
      <c r="A707" t="s">
        <v>127</v>
      </c>
      <c r="B707" t="s">
        <v>3267</v>
      </c>
      <c r="C707" t="s">
        <v>127</v>
      </c>
      <c r="D707" t="s">
        <v>16</v>
      </c>
      <c r="E707" t="s">
        <v>15</v>
      </c>
      <c r="F707" s="161" t="s">
        <v>3394</v>
      </c>
      <c r="G707" t="s">
        <v>640</v>
      </c>
      <c r="H707" s="1" t="s">
        <v>590</v>
      </c>
      <c r="I707" t="s">
        <v>769</v>
      </c>
      <c r="K707" t="s">
        <v>3268</v>
      </c>
      <c r="L707" t="s">
        <v>612</v>
      </c>
      <c r="M707" t="s">
        <v>613</v>
      </c>
      <c r="N707" t="s">
        <v>618</v>
      </c>
      <c r="O707" s="155">
        <v>45757</v>
      </c>
    </row>
    <row r="708" spans="1:15" x14ac:dyDescent="0.25">
      <c r="A708" t="s">
        <v>3269</v>
      </c>
      <c r="B708" t="s">
        <v>3270</v>
      </c>
      <c r="C708" t="s">
        <v>3269</v>
      </c>
      <c r="D708" t="s">
        <v>16</v>
      </c>
      <c r="F708" s="161" t="s">
        <v>3394</v>
      </c>
      <c r="G708" t="s">
        <v>67</v>
      </c>
      <c r="H708" s="1" t="s">
        <v>3393</v>
      </c>
      <c r="I708" t="s">
        <v>2151</v>
      </c>
      <c r="K708" t="s">
        <v>3271</v>
      </c>
      <c r="L708" t="s">
        <v>612</v>
      </c>
      <c r="M708" t="s">
        <v>613</v>
      </c>
      <c r="N708" t="s">
        <v>655</v>
      </c>
    </row>
    <row r="709" spans="1:15" x14ac:dyDescent="0.25">
      <c r="A709" t="s">
        <v>3272</v>
      </c>
      <c r="B709" t="s">
        <v>3273</v>
      </c>
      <c r="C709" t="s">
        <v>3272</v>
      </c>
      <c r="D709" t="s">
        <v>16</v>
      </c>
      <c r="F709" s="161" t="s">
        <v>3394</v>
      </c>
      <c r="G709" t="s">
        <v>1368</v>
      </c>
      <c r="H709" s="1" t="s">
        <v>3393</v>
      </c>
      <c r="I709" t="s">
        <v>3274</v>
      </c>
      <c r="K709" t="s">
        <v>3275</v>
      </c>
      <c r="L709" t="s">
        <v>612</v>
      </c>
      <c r="M709" t="s">
        <v>613</v>
      </c>
      <c r="N709" t="s">
        <v>655</v>
      </c>
    </row>
    <row r="710" spans="1:15" x14ac:dyDescent="0.25">
      <c r="A710" t="s">
        <v>434</v>
      </c>
      <c r="B710" t="s">
        <v>3276</v>
      </c>
      <c r="C710" t="s">
        <v>434</v>
      </c>
      <c r="D710" t="s">
        <v>16</v>
      </c>
      <c r="E710" t="s">
        <v>19</v>
      </c>
      <c r="F710" s="161" t="s">
        <v>3394</v>
      </c>
      <c r="G710" t="s">
        <v>700</v>
      </c>
      <c r="H710" s="1" t="s">
        <v>587</v>
      </c>
      <c r="I710" t="s">
        <v>3277</v>
      </c>
      <c r="L710" t="s">
        <v>612</v>
      </c>
      <c r="M710" t="s">
        <v>613</v>
      </c>
      <c r="N710" t="s">
        <v>618</v>
      </c>
      <c r="O710" s="155">
        <v>45536</v>
      </c>
    </row>
    <row r="711" spans="1:15" x14ac:dyDescent="0.25">
      <c r="A711" t="s">
        <v>3279</v>
      </c>
      <c r="B711" t="s">
        <v>3280</v>
      </c>
      <c r="C711" t="s">
        <v>3279</v>
      </c>
      <c r="D711" t="s">
        <v>16</v>
      </c>
      <c r="F711" s="161" t="s">
        <v>3394</v>
      </c>
      <c r="G711" t="s">
        <v>700</v>
      </c>
      <c r="H711" s="1" t="s">
        <v>3393</v>
      </c>
      <c r="I711" t="s">
        <v>3281</v>
      </c>
      <c r="K711" t="s">
        <v>3282</v>
      </c>
      <c r="L711" t="s">
        <v>612</v>
      </c>
      <c r="M711" t="s">
        <v>613</v>
      </c>
      <c r="N711" t="s">
        <v>618</v>
      </c>
    </row>
    <row r="712" spans="1:15" x14ac:dyDescent="0.25">
      <c r="A712" t="s">
        <v>3283</v>
      </c>
      <c r="B712" t="s">
        <v>3284</v>
      </c>
      <c r="C712" t="s">
        <v>3283</v>
      </c>
      <c r="D712" t="s">
        <v>16</v>
      </c>
      <c r="F712" s="161" t="s">
        <v>3394</v>
      </c>
      <c r="G712" t="s">
        <v>700</v>
      </c>
      <c r="H712" s="1" t="s">
        <v>3393</v>
      </c>
      <c r="I712" t="s">
        <v>3265</v>
      </c>
      <c r="K712" t="s">
        <v>3285</v>
      </c>
      <c r="L712" t="s">
        <v>612</v>
      </c>
      <c r="M712" t="s">
        <v>613</v>
      </c>
      <c r="N712" t="s">
        <v>618</v>
      </c>
    </row>
    <row r="713" spans="1:15" x14ac:dyDescent="0.25">
      <c r="A713" t="s">
        <v>14</v>
      </c>
      <c r="B713" t="s">
        <v>3286</v>
      </c>
      <c r="C713" t="s">
        <v>14</v>
      </c>
      <c r="D713" t="s">
        <v>16</v>
      </c>
      <c r="E713" t="s">
        <v>15</v>
      </c>
      <c r="F713" s="161" t="s">
        <v>3394</v>
      </c>
      <c r="G713" t="s">
        <v>700</v>
      </c>
      <c r="H713" s="1" t="s">
        <v>587</v>
      </c>
      <c r="I713" t="s">
        <v>2752</v>
      </c>
      <c r="K713" t="s">
        <v>3287</v>
      </c>
      <c r="L713" t="s">
        <v>612</v>
      </c>
      <c r="M713" t="s">
        <v>613</v>
      </c>
      <c r="N713" t="s">
        <v>618</v>
      </c>
      <c r="O713" s="155">
        <v>44263</v>
      </c>
    </row>
    <row r="714" spans="1:15" x14ac:dyDescent="0.25">
      <c r="A714" t="s">
        <v>3292</v>
      </c>
      <c r="B714" t="s">
        <v>3293</v>
      </c>
      <c r="C714" t="s">
        <v>3292</v>
      </c>
      <c r="D714" t="s">
        <v>16</v>
      </c>
      <c r="F714" s="161" t="s">
        <v>3394</v>
      </c>
      <c r="G714" t="s">
        <v>1072</v>
      </c>
      <c r="H714" s="1" t="s">
        <v>3393</v>
      </c>
      <c r="I714" t="s">
        <v>1756</v>
      </c>
      <c r="K714" t="s">
        <v>3294</v>
      </c>
      <c r="L714" t="s">
        <v>612</v>
      </c>
      <c r="M714" t="s">
        <v>613</v>
      </c>
      <c r="N714" t="s">
        <v>618</v>
      </c>
    </row>
    <row r="715" spans="1:15" x14ac:dyDescent="0.25">
      <c r="A715" t="s">
        <v>3295</v>
      </c>
      <c r="B715" t="s">
        <v>3296</v>
      </c>
      <c r="C715" t="s">
        <v>3295</v>
      </c>
      <c r="D715" t="s">
        <v>16</v>
      </c>
      <c r="F715" s="161" t="s">
        <v>3394</v>
      </c>
      <c r="G715" t="s">
        <v>1072</v>
      </c>
      <c r="H715" s="1" t="s">
        <v>3393</v>
      </c>
      <c r="I715" t="s">
        <v>877</v>
      </c>
      <c r="K715" t="s">
        <v>3297</v>
      </c>
      <c r="L715" t="s">
        <v>612</v>
      </c>
      <c r="M715" t="s">
        <v>613</v>
      </c>
      <c r="N715" t="s">
        <v>618</v>
      </c>
    </row>
    <row r="716" spans="1:15" x14ac:dyDescent="0.25">
      <c r="A716" t="s">
        <v>3298</v>
      </c>
      <c r="B716" t="s">
        <v>3299</v>
      </c>
      <c r="C716" t="s">
        <v>3298</v>
      </c>
      <c r="D716" t="s">
        <v>16</v>
      </c>
      <c r="F716" s="161" t="s">
        <v>3394</v>
      </c>
      <c r="G716" t="s">
        <v>640</v>
      </c>
      <c r="H716" s="1" t="s">
        <v>3393</v>
      </c>
      <c r="I716" t="s">
        <v>935</v>
      </c>
      <c r="K716" t="s">
        <v>3300</v>
      </c>
      <c r="L716" t="s">
        <v>612</v>
      </c>
      <c r="M716" t="s">
        <v>613</v>
      </c>
      <c r="N716" t="s">
        <v>618</v>
      </c>
    </row>
    <row r="717" spans="1:15" x14ac:dyDescent="0.25">
      <c r="A717" t="s">
        <v>3301</v>
      </c>
      <c r="B717" t="s">
        <v>3302</v>
      </c>
      <c r="C717" t="s">
        <v>3301</v>
      </c>
      <c r="D717" t="s">
        <v>16</v>
      </c>
      <c r="F717" s="161" t="s">
        <v>3394</v>
      </c>
      <c r="G717" t="s">
        <v>102</v>
      </c>
      <c r="H717" s="1" t="s">
        <v>3393</v>
      </c>
      <c r="I717" t="s">
        <v>1271</v>
      </c>
      <c r="L717" t="s">
        <v>612</v>
      </c>
      <c r="M717" t="s">
        <v>613</v>
      </c>
      <c r="N717" t="s">
        <v>655</v>
      </c>
    </row>
    <row r="718" spans="1:15" x14ac:dyDescent="0.25">
      <c r="A718" t="s">
        <v>534</v>
      </c>
      <c r="B718" t="s">
        <v>3303</v>
      </c>
      <c r="C718" t="s">
        <v>534</v>
      </c>
      <c r="D718" t="s">
        <v>16</v>
      </c>
      <c r="E718" t="s">
        <v>15</v>
      </c>
      <c r="F718" s="161" t="s">
        <v>3394</v>
      </c>
      <c r="G718" t="s">
        <v>925</v>
      </c>
      <c r="H718" s="1" t="s">
        <v>593</v>
      </c>
      <c r="I718" t="s">
        <v>3304</v>
      </c>
      <c r="K718" t="s">
        <v>3305</v>
      </c>
      <c r="L718" t="s">
        <v>612</v>
      </c>
      <c r="M718" t="s">
        <v>613</v>
      </c>
      <c r="N718" t="s">
        <v>618</v>
      </c>
      <c r="O718" s="155">
        <v>45722</v>
      </c>
    </row>
    <row r="719" spans="1:15" x14ac:dyDescent="0.25">
      <c r="A719" t="s">
        <v>518</v>
      </c>
      <c r="B719" t="s">
        <v>3306</v>
      </c>
      <c r="C719" t="s">
        <v>518</v>
      </c>
      <c r="D719" t="s">
        <v>16</v>
      </c>
      <c r="E719" t="s">
        <v>15</v>
      </c>
      <c r="F719" s="161" t="s">
        <v>3394</v>
      </c>
      <c r="G719" t="s">
        <v>1066</v>
      </c>
      <c r="H719" s="1" t="s">
        <v>596</v>
      </c>
      <c r="I719" t="s">
        <v>3307</v>
      </c>
      <c r="K719" t="s">
        <v>3308</v>
      </c>
      <c r="L719" t="s">
        <v>612</v>
      </c>
      <c r="M719" t="s">
        <v>613</v>
      </c>
      <c r="N719" t="s">
        <v>618</v>
      </c>
      <c r="O719" s="155">
        <v>45418</v>
      </c>
    </row>
    <row r="720" spans="1:15" x14ac:dyDescent="0.25">
      <c r="A720" t="s">
        <v>3315</v>
      </c>
      <c r="B720" t="s">
        <v>3316</v>
      </c>
      <c r="C720" t="s">
        <v>3315</v>
      </c>
      <c r="D720" t="s">
        <v>16</v>
      </c>
      <c r="F720" s="161" t="s">
        <v>3394</v>
      </c>
      <c r="G720" t="s">
        <v>1513</v>
      </c>
      <c r="H720" s="1" t="s">
        <v>3393</v>
      </c>
      <c r="I720" t="s">
        <v>3317</v>
      </c>
      <c r="K720" t="s">
        <v>3318</v>
      </c>
      <c r="L720" t="s">
        <v>612</v>
      </c>
      <c r="M720" t="s">
        <v>613</v>
      </c>
      <c r="N720" t="s">
        <v>655</v>
      </c>
    </row>
    <row r="721" spans="1:15" x14ac:dyDescent="0.25">
      <c r="A721" t="s">
        <v>414</v>
      </c>
      <c r="B721" t="s">
        <v>3319</v>
      </c>
      <c r="C721" t="s">
        <v>414</v>
      </c>
      <c r="D721" t="s">
        <v>16</v>
      </c>
      <c r="E721" t="s">
        <v>19</v>
      </c>
      <c r="F721" s="161" t="s">
        <v>3394</v>
      </c>
      <c r="G721" t="s">
        <v>752</v>
      </c>
      <c r="H721" s="1" t="s">
        <v>596</v>
      </c>
      <c r="I721" t="s">
        <v>833</v>
      </c>
      <c r="K721" t="s">
        <v>3320</v>
      </c>
      <c r="L721" t="s">
        <v>612</v>
      </c>
      <c r="M721" t="s">
        <v>613</v>
      </c>
      <c r="N721" t="s">
        <v>618</v>
      </c>
      <c r="O721" s="155">
        <v>45705</v>
      </c>
    </row>
    <row r="722" spans="1:15" x14ac:dyDescent="0.25">
      <c r="A722" t="s">
        <v>3321</v>
      </c>
      <c r="B722" t="s">
        <v>3322</v>
      </c>
      <c r="C722" t="s">
        <v>3321</v>
      </c>
      <c r="D722" t="s">
        <v>16</v>
      </c>
      <c r="F722" s="161" t="s">
        <v>3394</v>
      </c>
      <c r="G722" t="s">
        <v>744</v>
      </c>
      <c r="H722" s="1" t="s">
        <v>3393</v>
      </c>
      <c r="I722" t="s">
        <v>1450</v>
      </c>
      <c r="K722" t="s">
        <v>3323</v>
      </c>
      <c r="L722" t="s">
        <v>612</v>
      </c>
      <c r="M722" t="s">
        <v>613</v>
      </c>
      <c r="N722" t="s">
        <v>618</v>
      </c>
    </row>
    <row r="723" spans="1:15" x14ac:dyDescent="0.25">
      <c r="A723" t="s">
        <v>423</v>
      </c>
      <c r="B723" t="s">
        <v>3331</v>
      </c>
      <c r="C723" t="s">
        <v>423</v>
      </c>
      <c r="D723" t="s">
        <v>16</v>
      </c>
      <c r="E723" t="s">
        <v>19</v>
      </c>
      <c r="F723" s="161" t="s">
        <v>3394</v>
      </c>
      <c r="G723" t="s">
        <v>616</v>
      </c>
      <c r="H723" s="1" t="s">
        <v>593</v>
      </c>
      <c r="I723" t="s">
        <v>1294</v>
      </c>
      <c r="K723" t="s">
        <v>3332</v>
      </c>
      <c r="L723" t="s">
        <v>612</v>
      </c>
      <c r="M723" t="s">
        <v>613</v>
      </c>
      <c r="N723" t="s">
        <v>618</v>
      </c>
      <c r="O723" s="155">
        <v>45151</v>
      </c>
    </row>
    <row r="724" spans="1:15" x14ac:dyDescent="0.25">
      <c r="A724" t="s">
        <v>3333</v>
      </c>
      <c r="B724" t="s">
        <v>3334</v>
      </c>
      <c r="C724" t="s">
        <v>3333</v>
      </c>
      <c r="D724" t="s">
        <v>16</v>
      </c>
      <c r="F724" s="161" t="s">
        <v>3394</v>
      </c>
      <c r="G724" t="s">
        <v>768</v>
      </c>
      <c r="H724" s="1" t="s">
        <v>3393</v>
      </c>
      <c r="I724" t="s">
        <v>769</v>
      </c>
      <c r="K724" t="s">
        <v>3335</v>
      </c>
      <c r="L724" t="s">
        <v>612</v>
      </c>
      <c r="M724" t="s">
        <v>613</v>
      </c>
      <c r="N724" t="s">
        <v>655</v>
      </c>
    </row>
    <row r="725" spans="1:15" x14ac:dyDescent="0.25">
      <c r="A725" t="s">
        <v>3336</v>
      </c>
      <c r="B725" t="s">
        <v>3337</v>
      </c>
      <c r="C725" t="s">
        <v>3336</v>
      </c>
      <c r="D725" t="s">
        <v>16</v>
      </c>
      <c r="F725" s="161" t="s">
        <v>3394</v>
      </c>
      <c r="G725" t="s">
        <v>1346</v>
      </c>
      <c r="H725" s="1" t="s">
        <v>3393</v>
      </c>
      <c r="I725" t="s">
        <v>1214</v>
      </c>
      <c r="L725" t="s">
        <v>612</v>
      </c>
      <c r="M725" t="s">
        <v>613</v>
      </c>
      <c r="N725" t="s">
        <v>618</v>
      </c>
    </row>
    <row r="726" spans="1:15" x14ac:dyDescent="0.25">
      <c r="A726" t="s">
        <v>3338</v>
      </c>
      <c r="B726" t="s">
        <v>3339</v>
      </c>
      <c r="C726" t="s">
        <v>3338</v>
      </c>
      <c r="D726" t="s">
        <v>16</v>
      </c>
      <c r="F726" s="161" t="s">
        <v>3394</v>
      </c>
      <c r="G726" t="s">
        <v>616</v>
      </c>
      <c r="H726" s="1" t="s">
        <v>3393</v>
      </c>
      <c r="I726" t="s">
        <v>977</v>
      </c>
      <c r="L726" t="s">
        <v>612</v>
      </c>
      <c r="M726" t="s">
        <v>613</v>
      </c>
      <c r="N726" t="s">
        <v>618</v>
      </c>
    </row>
    <row r="727" spans="1:15" x14ac:dyDescent="0.25">
      <c r="A727" t="s">
        <v>3340</v>
      </c>
      <c r="B727" t="s">
        <v>3341</v>
      </c>
      <c r="C727" t="s">
        <v>3340</v>
      </c>
      <c r="D727" t="s">
        <v>16</v>
      </c>
      <c r="F727" s="161" t="s">
        <v>3394</v>
      </c>
      <c r="G727" t="s">
        <v>616</v>
      </c>
      <c r="H727" s="1" t="s">
        <v>3393</v>
      </c>
      <c r="I727" t="s">
        <v>3342</v>
      </c>
      <c r="L727" t="s">
        <v>612</v>
      </c>
      <c r="M727" t="s">
        <v>613</v>
      </c>
      <c r="N727" t="s">
        <v>618</v>
      </c>
    </row>
    <row r="728" spans="1:15" x14ac:dyDescent="0.25">
      <c r="A728" t="s">
        <v>3350</v>
      </c>
      <c r="B728" t="s">
        <v>3351</v>
      </c>
      <c r="C728" t="s">
        <v>3350</v>
      </c>
      <c r="D728" t="s">
        <v>16</v>
      </c>
      <c r="F728" s="161" t="s">
        <v>3394</v>
      </c>
      <c r="G728" t="s">
        <v>775</v>
      </c>
      <c r="H728" s="1" t="s">
        <v>3393</v>
      </c>
      <c r="I728" t="s">
        <v>769</v>
      </c>
      <c r="K728" t="s">
        <v>3352</v>
      </c>
      <c r="L728" t="s">
        <v>612</v>
      </c>
      <c r="M728" t="s">
        <v>613</v>
      </c>
      <c r="N728" t="s">
        <v>655</v>
      </c>
    </row>
    <row r="729" spans="1:15" x14ac:dyDescent="0.25">
      <c r="A729" t="s">
        <v>3353</v>
      </c>
      <c r="B729" t="s">
        <v>3354</v>
      </c>
      <c r="C729" t="s">
        <v>3353</v>
      </c>
      <c r="D729" t="s">
        <v>16</v>
      </c>
      <c r="F729" s="161" t="s">
        <v>3394</v>
      </c>
      <c r="G729" t="s">
        <v>640</v>
      </c>
      <c r="H729" s="1" t="s">
        <v>3393</v>
      </c>
      <c r="I729" t="s">
        <v>753</v>
      </c>
      <c r="K729" t="s">
        <v>3355</v>
      </c>
      <c r="L729" t="s">
        <v>612</v>
      </c>
      <c r="M729" t="s">
        <v>613</v>
      </c>
      <c r="N729" t="s">
        <v>618</v>
      </c>
    </row>
    <row r="730" spans="1:15" x14ac:dyDescent="0.25">
      <c r="A730" t="s">
        <v>3356</v>
      </c>
      <c r="B730" t="s">
        <v>3357</v>
      </c>
      <c r="C730" t="s">
        <v>3356</v>
      </c>
      <c r="D730" t="s">
        <v>16</v>
      </c>
      <c r="F730" s="161" t="s">
        <v>3394</v>
      </c>
      <c r="G730" t="s">
        <v>716</v>
      </c>
      <c r="H730" s="1" t="s">
        <v>3393</v>
      </c>
      <c r="I730" t="s">
        <v>3358</v>
      </c>
      <c r="K730" t="s">
        <v>3359</v>
      </c>
      <c r="L730" t="s">
        <v>612</v>
      </c>
      <c r="M730" t="s">
        <v>613</v>
      </c>
      <c r="N730" t="s">
        <v>655</v>
      </c>
    </row>
    <row r="731" spans="1:15" x14ac:dyDescent="0.25">
      <c r="A731" t="s">
        <v>508</v>
      </c>
      <c r="B731" t="s">
        <v>3360</v>
      </c>
      <c r="C731" t="s">
        <v>508</v>
      </c>
      <c r="D731" t="s">
        <v>16</v>
      </c>
      <c r="E731" t="s">
        <v>15</v>
      </c>
      <c r="F731" s="161" t="s">
        <v>3394</v>
      </c>
      <c r="G731" t="s">
        <v>749</v>
      </c>
      <c r="H731" s="1" t="s">
        <v>594</v>
      </c>
      <c r="I731" t="s">
        <v>728</v>
      </c>
      <c r="L731" t="s">
        <v>612</v>
      </c>
      <c r="M731" t="s">
        <v>613</v>
      </c>
      <c r="N731" t="s">
        <v>618</v>
      </c>
      <c r="O731" s="155">
        <v>46153</v>
      </c>
    </row>
    <row r="732" spans="1:15" x14ac:dyDescent="0.25">
      <c r="A732" t="s">
        <v>536</v>
      </c>
      <c r="B732" t="s">
        <v>3361</v>
      </c>
      <c r="C732" t="s">
        <v>536</v>
      </c>
      <c r="D732" t="s">
        <v>16</v>
      </c>
      <c r="E732" t="s">
        <v>15</v>
      </c>
      <c r="F732" s="161" t="s">
        <v>3394</v>
      </c>
      <c r="G732" t="s">
        <v>168</v>
      </c>
      <c r="H732" s="1" t="s">
        <v>3393</v>
      </c>
      <c r="I732" t="s">
        <v>3362</v>
      </c>
      <c r="K732" t="s">
        <v>3363</v>
      </c>
      <c r="L732" t="s">
        <v>612</v>
      </c>
      <c r="M732" t="s">
        <v>613</v>
      </c>
      <c r="N732" t="s">
        <v>655</v>
      </c>
      <c r="O732" s="155">
        <v>45151</v>
      </c>
    </row>
    <row r="733" spans="1:15" x14ac:dyDescent="0.25">
      <c r="A733" t="s">
        <v>3364</v>
      </c>
      <c r="B733" t="s">
        <v>3365</v>
      </c>
      <c r="C733" t="s">
        <v>3364</v>
      </c>
      <c r="D733" t="s">
        <v>16</v>
      </c>
      <c r="F733" s="161" t="s">
        <v>3394</v>
      </c>
      <c r="G733" t="s">
        <v>752</v>
      </c>
      <c r="H733" s="1" t="s">
        <v>3393</v>
      </c>
      <c r="I733" t="s">
        <v>1416</v>
      </c>
      <c r="K733" t="s">
        <v>3366</v>
      </c>
      <c r="L733" t="s">
        <v>612</v>
      </c>
      <c r="M733" t="s">
        <v>613</v>
      </c>
      <c r="N733" t="s">
        <v>618</v>
      </c>
    </row>
    <row r="734" spans="1:15" x14ac:dyDescent="0.25">
      <c r="A734" t="s">
        <v>3367</v>
      </c>
      <c r="B734" t="s">
        <v>3368</v>
      </c>
      <c r="C734" t="s">
        <v>3367</v>
      </c>
      <c r="D734" t="s">
        <v>16</v>
      </c>
      <c r="F734" s="161" t="s">
        <v>3394</v>
      </c>
      <c r="G734" t="s">
        <v>640</v>
      </c>
      <c r="H734" s="1" t="s">
        <v>3393</v>
      </c>
      <c r="I734" t="s">
        <v>1492</v>
      </c>
      <c r="L734" t="s">
        <v>612</v>
      </c>
      <c r="M734" t="s">
        <v>613</v>
      </c>
      <c r="N734" t="s">
        <v>618</v>
      </c>
    </row>
    <row r="735" spans="1:15" x14ac:dyDescent="0.25">
      <c r="A735" t="s">
        <v>49</v>
      </c>
      <c r="B735" t="s">
        <v>3382</v>
      </c>
      <c r="C735" t="s">
        <v>49</v>
      </c>
      <c r="D735" t="s">
        <v>16</v>
      </c>
      <c r="E735" t="s">
        <v>19</v>
      </c>
      <c r="F735" s="161" t="s">
        <v>3394</v>
      </c>
      <c r="G735" t="s">
        <v>616</v>
      </c>
      <c r="H735" s="1" t="s">
        <v>593</v>
      </c>
      <c r="I735" t="s">
        <v>2638</v>
      </c>
      <c r="K735" t="s">
        <v>3383</v>
      </c>
      <c r="L735" t="s">
        <v>612</v>
      </c>
      <c r="M735" t="s">
        <v>613</v>
      </c>
      <c r="N735" t="s">
        <v>618</v>
      </c>
      <c r="O735" s="155">
        <v>44281</v>
      </c>
    </row>
    <row r="736" spans="1:15" x14ac:dyDescent="0.25">
      <c r="A736" t="s">
        <v>463</v>
      </c>
      <c r="B736" t="s">
        <v>3386</v>
      </c>
      <c r="C736" t="s">
        <v>463</v>
      </c>
      <c r="D736" t="s">
        <v>16</v>
      </c>
      <c r="E736" t="s">
        <v>15</v>
      </c>
      <c r="F736" s="161" t="s">
        <v>3394</v>
      </c>
      <c r="G736" t="s">
        <v>749</v>
      </c>
      <c r="H736" s="1" t="s">
        <v>594</v>
      </c>
      <c r="I736" t="s">
        <v>3387</v>
      </c>
      <c r="K736" t="s">
        <v>3388</v>
      </c>
      <c r="L736" t="s">
        <v>612</v>
      </c>
      <c r="M736" t="s">
        <v>613</v>
      </c>
      <c r="N736" t="s">
        <v>618</v>
      </c>
      <c r="O736" s="155">
        <v>45151</v>
      </c>
    </row>
    <row r="737" spans="1:15" x14ac:dyDescent="0.25">
      <c r="A737" t="s">
        <v>676</v>
      </c>
      <c r="B737" t="s">
        <v>677</v>
      </c>
      <c r="C737" t="s">
        <v>676</v>
      </c>
      <c r="D737" t="s">
        <v>114</v>
      </c>
      <c r="F737" s="161" t="s">
        <v>3394</v>
      </c>
      <c r="G737" t="s">
        <v>678</v>
      </c>
      <c r="H737" s="1" t="s">
        <v>3393</v>
      </c>
      <c r="I737" t="s">
        <v>679</v>
      </c>
      <c r="K737" t="s">
        <v>680</v>
      </c>
      <c r="L737" t="s">
        <v>612</v>
      </c>
      <c r="M737" t="s">
        <v>613</v>
      </c>
      <c r="N737" t="s">
        <v>3395</v>
      </c>
    </row>
    <row r="738" spans="1:15" x14ac:dyDescent="0.25">
      <c r="A738" t="s">
        <v>682</v>
      </c>
      <c r="B738" t="s">
        <v>683</v>
      </c>
      <c r="C738" t="s">
        <v>682</v>
      </c>
      <c r="D738" t="s">
        <v>114</v>
      </c>
      <c r="F738" s="161" t="s">
        <v>3394</v>
      </c>
      <c r="G738" t="s">
        <v>678</v>
      </c>
      <c r="H738" s="1" t="s">
        <v>3393</v>
      </c>
      <c r="I738" t="s">
        <v>684</v>
      </c>
      <c r="K738" t="s">
        <v>685</v>
      </c>
      <c r="L738" t="s">
        <v>612</v>
      </c>
      <c r="M738" t="s">
        <v>613</v>
      </c>
      <c r="N738" t="s">
        <v>3395</v>
      </c>
    </row>
    <row r="739" spans="1:15" x14ac:dyDescent="0.25">
      <c r="A739" t="s">
        <v>113</v>
      </c>
      <c r="B739" t="s">
        <v>757</v>
      </c>
      <c r="C739" t="s">
        <v>113</v>
      </c>
      <c r="D739" t="s">
        <v>114</v>
      </c>
      <c r="E739" t="s">
        <v>15</v>
      </c>
      <c r="F739" s="161" t="s">
        <v>3394</v>
      </c>
      <c r="G739" t="s">
        <v>678</v>
      </c>
      <c r="H739" s="1" t="s">
        <v>3393</v>
      </c>
      <c r="I739" t="s">
        <v>758</v>
      </c>
      <c r="K739" t="s">
        <v>759</v>
      </c>
      <c r="L739" t="s">
        <v>612</v>
      </c>
      <c r="M739" t="s">
        <v>613</v>
      </c>
      <c r="N739" t="s">
        <v>3395</v>
      </c>
      <c r="O739" s="155">
        <v>45292</v>
      </c>
    </row>
    <row r="740" spans="1:15" x14ac:dyDescent="0.25">
      <c r="A740" t="s">
        <v>789</v>
      </c>
      <c r="B740" t="s">
        <v>790</v>
      </c>
      <c r="C740" t="s">
        <v>789</v>
      </c>
      <c r="D740" t="s">
        <v>114</v>
      </c>
      <c r="F740" s="161" t="s">
        <v>3394</v>
      </c>
      <c r="G740" t="s">
        <v>678</v>
      </c>
      <c r="H740" s="1" t="s">
        <v>3393</v>
      </c>
      <c r="I740" t="s">
        <v>791</v>
      </c>
      <c r="K740" t="s">
        <v>792</v>
      </c>
      <c r="L740" t="s">
        <v>612</v>
      </c>
      <c r="M740" t="s">
        <v>613</v>
      </c>
      <c r="N740" t="s">
        <v>3395</v>
      </c>
    </row>
    <row r="741" spans="1:15" x14ac:dyDescent="0.25">
      <c r="A741" t="s">
        <v>793</v>
      </c>
      <c r="B741" t="s">
        <v>794</v>
      </c>
      <c r="C741" t="s">
        <v>793</v>
      </c>
      <c r="D741" t="s">
        <v>114</v>
      </c>
      <c r="F741" s="161" t="s">
        <v>3394</v>
      </c>
      <c r="G741" t="s">
        <v>795</v>
      </c>
      <c r="H741" s="1" t="s">
        <v>3393</v>
      </c>
      <c r="I741" t="s">
        <v>796</v>
      </c>
      <c r="K741" t="s">
        <v>797</v>
      </c>
      <c r="L741" t="s">
        <v>612</v>
      </c>
      <c r="M741" t="s">
        <v>613</v>
      </c>
      <c r="N741" t="s">
        <v>3395</v>
      </c>
    </row>
    <row r="742" spans="1:15" x14ac:dyDescent="0.25">
      <c r="A742" t="s">
        <v>991</v>
      </c>
      <c r="B742" t="s">
        <v>992</v>
      </c>
      <c r="C742" t="s">
        <v>991</v>
      </c>
      <c r="D742" t="s">
        <v>114</v>
      </c>
      <c r="F742" s="161" t="s">
        <v>3394</v>
      </c>
      <c r="G742" t="s">
        <v>993</v>
      </c>
      <c r="H742" s="1" t="s">
        <v>3393</v>
      </c>
      <c r="I742" t="s">
        <v>994</v>
      </c>
      <c r="K742" t="s">
        <v>995</v>
      </c>
      <c r="L742" t="s">
        <v>612</v>
      </c>
      <c r="M742" t="s">
        <v>613</v>
      </c>
      <c r="N742" t="s">
        <v>3395</v>
      </c>
    </row>
    <row r="743" spans="1:15" x14ac:dyDescent="0.25">
      <c r="A743" t="s">
        <v>334</v>
      </c>
      <c r="B743" t="s">
        <v>1021</v>
      </c>
      <c r="C743" t="s">
        <v>334</v>
      </c>
      <c r="D743" t="s">
        <v>114</v>
      </c>
      <c r="E743" t="s">
        <v>15</v>
      </c>
      <c r="F743" s="161" t="s">
        <v>3394</v>
      </c>
      <c r="G743" t="s">
        <v>1022</v>
      </c>
      <c r="H743" s="1" t="s">
        <v>3393</v>
      </c>
      <c r="I743" t="s">
        <v>1023</v>
      </c>
      <c r="K743" t="s">
        <v>1024</v>
      </c>
      <c r="L743" t="s">
        <v>612</v>
      </c>
      <c r="M743" t="s">
        <v>613</v>
      </c>
      <c r="N743" t="s">
        <v>3395</v>
      </c>
      <c r="O743" s="155">
        <v>45586</v>
      </c>
    </row>
    <row r="744" spans="1:15" x14ac:dyDescent="0.25">
      <c r="A744" t="s">
        <v>1039</v>
      </c>
      <c r="B744" t="s">
        <v>1040</v>
      </c>
      <c r="C744" t="s">
        <v>1039</v>
      </c>
      <c r="D744" t="s">
        <v>114</v>
      </c>
      <c r="F744" s="161" t="s">
        <v>3394</v>
      </c>
      <c r="G744" t="s">
        <v>678</v>
      </c>
      <c r="H744" s="1" t="s">
        <v>3393</v>
      </c>
      <c r="I744" t="s">
        <v>1041</v>
      </c>
      <c r="K744" t="s">
        <v>1042</v>
      </c>
      <c r="L744" t="s">
        <v>612</v>
      </c>
      <c r="M744" t="s">
        <v>613</v>
      </c>
      <c r="N744" t="s">
        <v>3395</v>
      </c>
    </row>
    <row r="745" spans="1:15" x14ac:dyDescent="0.25">
      <c r="A745" t="s">
        <v>1078</v>
      </c>
      <c r="B745" t="s">
        <v>1079</v>
      </c>
      <c r="C745" t="s">
        <v>1078</v>
      </c>
      <c r="D745" t="s">
        <v>114</v>
      </c>
      <c r="F745" s="161" t="s">
        <v>3394</v>
      </c>
      <c r="G745" t="s">
        <v>1080</v>
      </c>
      <c r="H745" s="1" t="s">
        <v>3393</v>
      </c>
      <c r="I745" t="s">
        <v>1081</v>
      </c>
      <c r="K745" t="s">
        <v>1082</v>
      </c>
      <c r="L745" t="s">
        <v>612</v>
      </c>
      <c r="M745" t="s">
        <v>613</v>
      </c>
      <c r="N745" t="s">
        <v>3395</v>
      </c>
    </row>
    <row r="746" spans="1:15" x14ac:dyDescent="0.25">
      <c r="A746" t="s">
        <v>1328</v>
      </c>
      <c r="B746" t="s">
        <v>1329</v>
      </c>
      <c r="C746" t="s">
        <v>1328</v>
      </c>
      <c r="D746" t="s">
        <v>114</v>
      </c>
      <c r="F746" s="161" t="s">
        <v>3394</v>
      </c>
      <c r="G746" t="s">
        <v>678</v>
      </c>
      <c r="H746" s="1" t="s">
        <v>3393</v>
      </c>
      <c r="I746" t="s">
        <v>1330</v>
      </c>
      <c r="K746" t="s">
        <v>1331</v>
      </c>
      <c r="L746" t="s">
        <v>612</v>
      </c>
      <c r="M746" t="s">
        <v>613</v>
      </c>
      <c r="N746" t="s">
        <v>3395</v>
      </c>
    </row>
    <row r="747" spans="1:15" x14ac:dyDescent="0.25">
      <c r="A747" t="s">
        <v>1360</v>
      </c>
      <c r="B747" t="s">
        <v>1361</v>
      </c>
      <c r="C747" t="s">
        <v>1360</v>
      </c>
      <c r="D747" t="s">
        <v>114</v>
      </c>
      <c r="F747" s="161" t="s">
        <v>3394</v>
      </c>
      <c r="G747" t="s">
        <v>678</v>
      </c>
      <c r="H747" s="1" t="s">
        <v>3393</v>
      </c>
      <c r="I747" t="s">
        <v>1362</v>
      </c>
      <c r="K747" t="s">
        <v>1363</v>
      </c>
      <c r="L747" t="s">
        <v>612</v>
      </c>
      <c r="M747" t="s">
        <v>613</v>
      </c>
      <c r="N747" t="s">
        <v>3395</v>
      </c>
    </row>
    <row r="748" spans="1:15" x14ac:dyDescent="0.25">
      <c r="A748" t="s">
        <v>1382</v>
      </c>
      <c r="B748" t="s">
        <v>1383</v>
      </c>
      <c r="C748" t="s">
        <v>1382</v>
      </c>
      <c r="D748" t="s">
        <v>114</v>
      </c>
      <c r="F748" s="161" t="s">
        <v>3394</v>
      </c>
      <c r="G748" t="s">
        <v>1080</v>
      </c>
      <c r="H748" s="1" t="s">
        <v>3393</v>
      </c>
      <c r="I748" t="s">
        <v>1384</v>
      </c>
      <c r="K748" t="s">
        <v>1385</v>
      </c>
      <c r="L748" t="s">
        <v>612</v>
      </c>
      <c r="M748" t="s">
        <v>613</v>
      </c>
      <c r="N748" t="s">
        <v>3395</v>
      </c>
    </row>
    <row r="749" spans="1:15" x14ac:dyDescent="0.25">
      <c r="A749" t="s">
        <v>1429</v>
      </c>
      <c r="B749" t="s">
        <v>1430</v>
      </c>
      <c r="C749" t="s">
        <v>1429</v>
      </c>
      <c r="D749" t="s">
        <v>114</v>
      </c>
      <c r="F749" s="161" t="s">
        <v>3394</v>
      </c>
      <c r="G749" t="s">
        <v>1431</v>
      </c>
      <c r="H749" s="1" t="s">
        <v>3393</v>
      </c>
      <c r="I749" t="s">
        <v>1424</v>
      </c>
      <c r="K749" t="s">
        <v>1432</v>
      </c>
      <c r="L749" t="s">
        <v>612</v>
      </c>
      <c r="M749" t="s">
        <v>613</v>
      </c>
      <c r="N749" t="s">
        <v>3395</v>
      </c>
    </row>
    <row r="750" spans="1:15" x14ac:dyDescent="0.25">
      <c r="A750" t="s">
        <v>1465</v>
      </c>
      <c r="B750" t="s">
        <v>1466</v>
      </c>
      <c r="C750" t="s">
        <v>1465</v>
      </c>
      <c r="D750" t="s">
        <v>114</v>
      </c>
      <c r="F750" s="161" t="s">
        <v>3394</v>
      </c>
      <c r="G750" t="s">
        <v>1467</v>
      </c>
      <c r="H750" s="1" t="s">
        <v>3393</v>
      </c>
      <c r="I750" t="s">
        <v>919</v>
      </c>
      <c r="K750" t="s">
        <v>1468</v>
      </c>
      <c r="L750" t="s">
        <v>612</v>
      </c>
      <c r="M750" t="s">
        <v>613</v>
      </c>
      <c r="N750" t="s">
        <v>3395</v>
      </c>
    </row>
    <row r="751" spans="1:15" x14ac:dyDescent="0.25">
      <c r="A751" t="s">
        <v>1540</v>
      </c>
      <c r="B751" t="s">
        <v>1541</v>
      </c>
      <c r="C751" t="s">
        <v>1540</v>
      </c>
      <c r="D751" t="s">
        <v>114</v>
      </c>
      <c r="F751" s="161" t="s">
        <v>3394</v>
      </c>
      <c r="G751" t="s">
        <v>678</v>
      </c>
      <c r="H751" s="1" t="s">
        <v>3393</v>
      </c>
      <c r="I751" t="s">
        <v>1542</v>
      </c>
      <c r="K751" t="s">
        <v>1543</v>
      </c>
      <c r="L751" t="s">
        <v>612</v>
      </c>
      <c r="M751" t="s">
        <v>613</v>
      </c>
      <c r="N751" t="s">
        <v>3395</v>
      </c>
    </row>
    <row r="752" spans="1:15" x14ac:dyDescent="0.25">
      <c r="A752" t="s">
        <v>1558</v>
      </c>
      <c r="B752" t="s">
        <v>1559</v>
      </c>
      <c r="C752" t="s">
        <v>1558</v>
      </c>
      <c r="D752" t="s">
        <v>114</v>
      </c>
      <c r="F752" s="161" t="s">
        <v>3394</v>
      </c>
      <c r="G752" t="s">
        <v>678</v>
      </c>
      <c r="H752" s="1" t="s">
        <v>3393</v>
      </c>
      <c r="I752" t="s">
        <v>955</v>
      </c>
      <c r="K752" t="s">
        <v>1560</v>
      </c>
      <c r="L752" t="s">
        <v>612</v>
      </c>
      <c r="M752" t="s">
        <v>613</v>
      </c>
      <c r="N752" t="s">
        <v>3395</v>
      </c>
    </row>
    <row r="753" spans="1:14" x14ac:dyDescent="0.25">
      <c r="A753" t="s">
        <v>1707</v>
      </c>
      <c r="B753" t="s">
        <v>1708</v>
      </c>
      <c r="C753" t="s">
        <v>1707</v>
      </c>
      <c r="D753" t="s">
        <v>114</v>
      </c>
      <c r="F753" s="161" t="s">
        <v>3394</v>
      </c>
      <c r="G753" t="s">
        <v>1431</v>
      </c>
      <c r="H753" s="1" t="s">
        <v>3393</v>
      </c>
      <c r="I753" t="s">
        <v>1709</v>
      </c>
      <c r="K753" t="s">
        <v>1710</v>
      </c>
      <c r="L753" t="s">
        <v>612</v>
      </c>
      <c r="M753" t="s">
        <v>613</v>
      </c>
      <c r="N753" t="s">
        <v>3395</v>
      </c>
    </row>
    <row r="754" spans="1:14" x14ac:dyDescent="0.25">
      <c r="A754" t="s">
        <v>1737</v>
      </c>
      <c r="B754" t="s">
        <v>1738</v>
      </c>
      <c r="C754" t="s">
        <v>1737</v>
      </c>
      <c r="D754" t="s">
        <v>114</v>
      </c>
      <c r="F754" s="161" t="s">
        <v>3394</v>
      </c>
      <c r="G754" t="s">
        <v>1467</v>
      </c>
      <c r="H754" s="1" t="s">
        <v>3393</v>
      </c>
      <c r="I754" t="s">
        <v>1217</v>
      </c>
      <c r="K754" t="s">
        <v>1739</v>
      </c>
      <c r="L754" t="s">
        <v>612</v>
      </c>
      <c r="M754" t="s">
        <v>613</v>
      </c>
      <c r="N754" t="s">
        <v>3395</v>
      </c>
    </row>
    <row r="755" spans="1:14" x14ac:dyDescent="0.25">
      <c r="A755" t="s">
        <v>1763</v>
      </c>
      <c r="B755" t="s">
        <v>1764</v>
      </c>
      <c r="C755" t="s">
        <v>1763</v>
      </c>
      <c r="D755" t="s">
        <v>114</v>
      </c>
      <c r="F755" s="161" t="s">
        <v>3394</v>
      </c>
      <c r="G755" t="s">
        <v>1431</v>
      </c>
      <c r="H755" s="1" t="s">
        <v>3393</v>
      </c>
      <c r="I755" t="s">
        <v>1084</v>
      </c>
      <c r="K755" t="s">
        <v>1765</v>
      </c>
      <c r="L755" t="s">
        <v>612</v>
      </c>
      <c r="M755" t="s">
        <v>613</v>
      </c>
      <c r="N755" t="s">
        <v>3395</v>
      </c>
    </row>
    <row r="756" spans="1:14" x14ac:dyDescent="0.25">
      <c r="A756" t="s">
        <v>1931</v>
      </c>
      <c r="B756" t="s">
        <v>1932</v>
      </c>
      <c r="C756" t="s">
        <v>1931</v>
      </c>
      <c r="D756" t="s">
        <v>114</v>
      </c>
      <c r="F756" s="161" t="s">
        <v>3394</v>
      </c>
      <c r="G756" t="s">
        <v>678</v>
      </c>
      <c r="H756" s="1" t="s">
        <v>3393</v>
      </c>
      <c r="I756" t="s">
        <v>1153</v>
      </c>
      <c r="K756" t="s">
        <v>1933</v>
      </c>
      <c r="L756" t="s">
        <v>612</v>
      </c>
      <c r="M756" t="s">
        <v>613</v>
      </c>
      <c r="N756" t="s">
        <v>3395</v>
      </c>
    </row>
    <row r="757" spans="1:14" x14ac:dyDescent="0.25">
      <c r="A757" t="s">
        <v>1937</v>
      </c>
      <c r="B757" t="s">
        <v>1938</v>
      </c>
      <c r="C757" t="s">
        <v>1937</v>
      </c>
      <c r="D757" t="s">
        <v>114</v>
      </c>
      <c r="F757" s="161" t="s">
        <v>3394</v>
      </c>
      <c r="G757" t="s">
        <v>1939</v>
      </c>
      <c r="H757" s="1" t="s">
        <v>3393</v>
      </c>
      <c r="I757" t="s">
        <v>1940</v>
      </c>
      <c r="K757" t="s">
        <v>1941</v>
      </c>
      <c r="L757" t="s">
        <v>612</v>
      </c>
      <c r="M757" t="s">
        <v>613</v>
      </c>
      <c r="N757" t="s">
        <v>3395</v>
      </c>
    </row>
    <row r="758" spans="1:14" x14ac:dyDescent="0.25">
      <c r="A758" t="s">
        <v>1951</v>
      </c>
      <c r="B758" t="s">
        <v>1952</v>
      </c>
      <c r="C758" t="s">
        <v>1951</v>
      </c>
      <c r="D758" t="s">
        <v>114</v>
      </c>
      <c r="F758" s="161" t="s">
        <v>3394</v>
      </c>
      <c r="G758" t="s">
        <v>1953</v>
      </c>
      <c r="H758" s="1" t="s">
        <v>3393</v>
      </c>
      <c r="I758" t="s">
        <v>1954</v>
      </c>
      <c r="K758" t="s">
        <v>1955</v>
      </c>
      <c r="L758" t="s">
        <v>612</v>
      </c>
      <c r="M758" t="s">
        <v>613</v>
      </c>
      <c r="N758" t="s">
        <v>3395</v>
      </c>
    </row>
    <row r="759" spans="1:14" x14ac:dyDescent="0.25">
      <c r="A759" t="s">
        <v>1982</v>
      </c>
      <c r="B759" t="s">
        <v>1983</v>
      </c>
      <c r="C759" t="s">
        <v>1982</v>
      </c>
      <c r="D759" t="s">
        <v>114</v>
      </c>
      <c r="F759" s="161" t="s">
        <v>3394</v>
      </c>
      <c r="G759" t="s">
        <v>1467</v>
      </c>
      <c r="H759" s="1" t="s">
        <v>3393</v>
      </c>
      <c r="I759" t="s">
        <v>1984</v>
      </c>
      <c r="K759" t="s">
        <v>1985</v>
      </c>
      <c r="L759" t="s">
        <v>612</v>
      </c>
      <c r="M759" t="s">
        <v>613</v>
      </c>
      <c r="N759" t="s">
        <v>3395</v>
      </c>
    </row>
    <row r="760" spans="1:14" x14ac:dyDescent="0.25">
      <c r="A760" t="s">
        <v>2022</v>
      </c>
      <c r="B760" t="s">
        <v>2023</v>
      </c>
      <c r="C760" t="s">
        <v>2022</v>
      </c>
      <c r="D760" t="s">
        <v>114</v>
      </c>
      <c r="F760" s="161" t="s">
        <v>3394</v>
      </c>
      <c r="G760" t="s">
        <v>1080</v>
      </c>
      <c r="H760" s="1" t="s">
        <v>3393</v>
      </c>
      <c r="I760" t="s">
        <v>769</v>
      </c>
      <c r="K760" t="s">
        <v>2024</v>
      </c>
      <c r="L760" t="s">
        <v>612</v>
      </c>
      <c r="M760" t="s">
        <v>613</v>
      </c>
      <c r="N760" t="s">
        <v>3395</v>
      </c>
    </row>
    <row r="761" spans="1:14" x14ac:dyDescent="0.25">
      <c r="A761" t="s">
        <v>2078</v>
      </c>
      <c r="B761" t="s">
        <v>2079</v>
      </c>
      <c r="C761" t="s">
        <v>2078</v>
      </c>
      <c r="D761" t="s">
        <v>114</v>
      </c>
      <c r="F761" s="161" t="s">
        <v>3394</v>
      </c>
      <c r="G761" t="s">
        <v>1431</v>
      </c>
      <c r="H761" s="1" t="s">
        <v>3393</v>
      </c>
      <c r="I761" t="s">
        <v>2080</v>
      </c>
      <c r="K761" t="s">
        <v>2081</v>
      </c>
      <c r="L761" t="s">
        <v>612</v>
      </c>
      <c r="M761" t="s">
        <v>613</v>
      </c>
      <c r="N761" t="s">
        <v>3395</v>
      </c>
    </row>
    <row r="762" spans="1:14" x14ac:dyDescent="0.25">
      <c r="A762" t="s">
        <v>2108</v>
      </c>
      <c r="B762" t="s">
        <v>2109</v>
      </c>
      <c r="C762" t="s">
        <v>2108</v>
      </c>
      <c r="D762" t="s">
        <v>114</v>
      </c>
      <c r="F762" s="161" t="s">
        <v>3394</v>
      </c>
      <c r="G762" t="s">
        <v>2110</v>
      </c>
      <c r="H762" s="1" t="s">
        <v>3393</v>
      </c>
      <c r="I762" t="s">
        <v>2111</v>
      </c>
      <c r="K762" t="s">
        <v>2112</v>
      </c>
      <c r="L762" t="s">
        <v>612</v>
      </c>
      <c r="M762" t="s">
        <v>613</v>
      </c>
      <c r="N762" t="s">
        <v>3395</v>
      </c>
    </row>
    <row r="763" spans="1:14" x14ac:dyDescent="0.25">
      <c r="A763" t="s">
        <v>2200</v>
      </c>
      <c r="B763" t="s">
        <v>2201</v>
      </c>
      <c r="C763" t="s">
        <v>2200</v>
      </c>
      <c r="D763" t="s">
        <v>114</v>
      </c>
      <c r="F763" s="161" t="s">
        <v>3394</v>
      </c>
      <c r="G763" t="s">
        <v>1953</v>
      </c>
      <c r="H763" s="1" t="s">
        <v>3393</v>
      </c>
      <c r="I763" t="s">
        <v>2202</v>
      </c>
      <c r="K763" t="s">
        <v>2203</v>
      </c>
      <c r="L763" t="s">
        <v>612</v>
      </c>
      <c r="M763" t="s">
        <v>613</v>
      </c>
      <c r="N763" t="s">
        <v>3395</v>
      </c>
    </row>
    <row r="764" spans="1:14" x14ac:dyDescent="0.25">
      <c r="A764" t="s">
        <v>2397</v>
      </c>
      <c r="B764" t="s">
        <v>2398</v>
      </c>
      <c r="C764" t="s">
        <v>2397</v>
      </c>
      <c r="D764" t="s">
        <v>114</v>
      </c>
      <c r="F764" s="161" t="s">
        <v>3394</v>
      </c>
      <c r="G764" t="s">
        <v>2399</v>
      </c>
      <c r="H764" s="1" t="s">
        <v>3393</v>
      </c>
      <c r="I764" t="s">
        <v>2400</v>
      </c>
      <c r="K764" t="s">
        <v>2401</v>
      </c>
      <c r="L764" t="s">
        <v>612</v>
      </c>
      <c r="M764" t="s">
        <v>613</v>
      </c>
      <c r="N764" t="s">
        <v>3395</v>
      </c>
    </row>
    <row r="765" spans="1:14" x14ac:dyDescent="0.25">
      <c r="A765" t="s">
        <v>2427</v>
      </c>
      <c r="B765" t="s">
        <v>2428</v>
      </c>
      <c r="C765" t="s">
        <v>2427</v>
      </c>
      <c r="D765" t="s">
        <v>114</v>
      </c>
      <c r="F765" s="161" t="s">
        <v>3394</v>
      </c>
      <c r="G765" t="s">
        <v>678</v>
      </c>
      <c r="H765" s="1" t="s">
        <v>3393</v>
      </c>
      <c r="I765" t="s">
        <v>2429</v>
      </c>
      <c r="K765" t="s">
        <v>2430</v>
      </c>
      <c r="L765" t="s">
        <v>612</v>
      </c>
      <c r="M765" t="s">
        <v>613</v>
      </c>
      <c r="N765" t="s">
        <v>3395</v>
      </c>
    </row>
    <row r="766" spans="1:14" x14ac:dyDescent="0.25">
      <c r="A766" t="s">
        <v>2451</v>
      </c>
      <c r="B766" t="s">
        <v>2452</v>
      </c>
      <c r="C766" t="s">
        <v>2451</v>
      </c>
      <c r="D766" t="s">
        <v>114</v>
      </c>
      <c r="F766" s="161" t="s">
        <v>3394</v>
      </c>
      <c r="G766" t="s">
        <v>1467</v>
      </c>
      <c r="H766" s="1" t="s">
        <v>3393</v>
      </c>
      <c r="I766" t="s">
        <v>2453</v>
      </c>
      <c r="K766" t="s">
        <v>2454</v>
      </c>
      <c r="L766" t="s">
        <v>612</v>
      </c>
      <c r="M766" t="s">
        <v>613</v>
      </c>
      <c r="N766" t="s">
        <v>3395</v>
      </c>
    </row>
    <row r="767" spans="1:14" x14ac:dyDescent="0.25">
      <c r="A767" t="s">
        <v>2467</v>
      </c>
      <c r="B767" t="s">
        <v>2468</v>
      </c>
      <c r="C767" t="s">
        <v>2467</v>
      </c>
      <c r="D767" t="s">
        <v>114</v>
      </c>
      <c r="F767" s="161" t="s">
        <v>3394</v>
      </c>
      <c r="G767" t="s">
        <v>2399</v>
      </c>
      <c r="H767" s="1" t="s">
        <v>3393</v>
      </c>
      <c r="I767" t="s">
        <v>2469</v>
      </c>
      <c r="K767" t="s">
        <v>2470</v>
      </c>
      <c r="L767" t="s">
        <v>612</v>
      </c>
      <c r="M767" t="s">
        <v>613</v>
      </c>
      <c r="N767" t="s">
        <v>3395</v>
      </c>
    </row>
    <row r="768" spans="1:14" x14ac:dyDescent="0.25">
      <c r="A768" t="s">
        <v>2513</v>
      </c>
      <c r="B768" t="s">
        <v>2514</v>
      </c>
      <c r="C768" t="s">
        <v>2513</v>
      </c>
      <c r="D768" t="s">
        <v>114</v>
      </c>
      <c r="F768" s="161" t="s">
        <v>3394</v>
      </c>
      <c r="G768" t="s">
        <v>678</v>
      </c>
      <c r="H768" s="1" t="s">
        <v>3393</v>
      </c>
      <c r="I768" t="s">
        <v>2515</v>
      </c>
      <c r="K768" t="s">
        <v>2516</v>
      </c>
      <c r="L768" t="s">
        <v>612</v>
      </c>
      <c r="M768" t="s">
        <v>613</v>
      </c>
      <c r="N768" t="s">
        <v>3395</v>
      </c>
    </row>
    <row r="769" spans="1:15" x14ac:dyDescent="0.25">
      <c r="A769" t="s">
        <v>2559</v>
      </c>
      <c r="B769" t="s">
        <v>2560</v>
      </c>
      <c r="C769" t="s">
        <v>2559</v>
      </c>
      <c r="D769" t="s">
        <v>114</v>
      </c>
      <c r="F769" s="161" t="s">
        <v>3394</v>
      </c>
      <c r="G769" t="s">
        <v>2561</v>
      </c>
      <c r="H769" s="1" t="s">
        <v>3393</v>
      </c>
      <c r="I769" t="s">
        <v>791</v>
      </c>
      <c r="K769" t="s">
        <v>2562</v>
      </c>
      <c r="L769" t="s">
        <v>612</v>
      </c>
      <c r="M769" t="s">
        <v>613</v>
      </c>
      <c r="N769" t="s">
        <v>3395</v>
      </c>
    </row>
    <row r="770" spans="1:15" x14ac:dyDescent="0.25">
      <c r="A770" t="s">
        <v>363</v>
      </c>
      <c r="B770" t="s">
        <v>2725</v>
      </c>
      <c r="C770" t="s">
        <v>363</v>
      </c>
      <c r="D770" t="s">
        <v>114</v>
      </c>
      <c r="E770" t="s">
        <v>15</v>
      </c>
      <c r="F770" s="161" t="s">
        <v>3394</v>
      </c>
      <c r="G770" t="s">
        <v>678</v>
      </c>
      <c r="H770" s="1" t="s">
        <v>3393</v>
      </c>
      <c r="I770" t="s">
        <v>2726</v>
      </c>
      <c r="K770" t="s">
        <v>2727</v>
      </c>
      <c r="L770" t="s">
        <v>612</v>
      </c>
      <c r="M770" t="s">
        <v>613</v>
      </c>
      <c r="N770" t="s">
        <v>3395</v>
      </c>
      <c r="O770" s="155">
        <v>45341</v>
      </c>
    </row>
    <row r="771" spans="1:15" x14ac:dyDescent="0.25">
      <c r="A771" t="s">
        <v>2744</v>
      </c>
      <c r="B771" t="s">
        <v>2745</v>
      </c>
      <c r="C771" t="s">
        <v>2744</v>
      </c>
      <c r="D771" t="s">
        <v>114</v>
      </c>
      <c r="F771" s="161" t="s">
        <v>3394</v>
      </c>
      <c r="G771" t="s">
        <v>2746</v>
      </c>
      <c r="H771" s="1" t="s">
        <v>3393</v>
      </c>
      <c r="I771" t="s">
        <v>2747</v>
      </c>
      <c r="K771" t="s">
        <v>2748</v>
      </c>
      <c r="L771" t="s">
        <v>612</v>
      </c>
      <c r="M771" t="s">
        <v>613</v>
      </c>
      <c r="N771" t="s">
        <v>3395</v>
      </c>
    </row>
    <row r="772" spans="1:15" x14ac:dyDescent="0.25">
      <c r="A772" t="s">
        <v>2790</v>
      </c>
      <c r="B772" t="s">
        <v>2791</v>
      </c>
      <c r="C772" t="s">
        <v>2790</v>
      </c>
      <c r="D772" t="s">
        <v>114</v>
      </c>
      <c r="F772" s="161" t="s">
        <v>3394</v>
      </c>
      <c r="G772" t="s">
        <v>1953</v>
      </c>
      <c r="H772" s="1" t="s">
        <v>3393</v>
      </c>
      <c r="I772" t="s">
        <v>2792</v>
      </c>
      <c r="K772" t="s">
        <v>2793</v>
      </c>
      <c r="L772" t="s">
        <v>612</v>
      </c>
      <c r="M772" t="s">
        <v>613</v>
      </c>
      <c r="N772" t="s">
        <v>3395</v>
      </c>
    </row>
    <row r="773" spans="1:15" x14ac:dyDescent="0.25">
      <c r="A773" t="s">
        <v>2873</v>
      </c>
      <c r="B773" t="s">
        <v>2874</v>
      </c>
      <c r="C773" t="s">
        <v>2873</v>
      </c>
      <c r="D773" t="s">
        <v>114</v>
      </c>
      <c r="F773" s="161" t="s">
        <v>3394</v>
      </c>
      <c r="G773" t="s">
        <v>678</v>
      </c>
      <c r="H773" s="1" t="s">
        <v>3393</v>
      </c>
      <c r="I773" t="s">
        <v>2875</v>
      </c>
      <c r="K773" t="s">
        <v>2876</v>
      </c>
      <c r="L773" t="s">
        <v>612</v>
      </c>
      <c r="M773" t="s">
        <v>613</v>
      </c>
      <c r="N773" t="s">
        <v>3395</v>
      </c>
    </row>
    <row r="774" spans="1:15" x14ac:dyDescent="0.25">
      <c r="A774" t="s">
        <v>3051</v>
      </c>
      <c r="B774" t="s">
        <v>3052</v>
      </c>
      <c r="C774" t="s">
        <v>3051</v>
      </c>
      <c r="D774" t="s">
        <v>114</v>
      </c>
      <c r="F774" s="161" t="s">
        <v>3394</v>
      </c>
      <c r="G774" t="s">
        <v>1080</v>
      </c>
      <c r="H774" s="1" t="s">
        <v>3393</v>
      </c>
      <c r="I774" t="s">
        <v>791</v>
      </c>
      <c r="K774" t="s">
        <v>3053</v>
      </c>
      <c r="L774" t="s">
        <v>612</v>
      </c>
      <c r="M774" t="s">
        <v>613</v>
      </c>
      <c r="N774" t="s">
        <v>3395</v>
      </c>
    </row>
    <row r="775" spans="1:15" x14ac:dyDescent="0.25">
      <c r="A775" t="s">
        <v>3067</v>
      </c>
      <c r="B775" t="s">
        <v>3068</v>
      </c>
      <c r="C775" t="s">
        <v>3067</v>
      </c>
      <c r="D775" t="s">
        <v>114</v>
      </c>
      <c r="F775" s="161" t="s">
        <v>3394</v>
      </c>
      <c r="G775" t="s">
        <v>836</v>
      </c>
      <c r="H775" s="1" t="s">
        <v>3393</v>
      </c>
      <c r="I775" t="s">
        <v>3069</v>
      </c>
      <c r="K775" t="s">
        <v>3070</v>
      </c>
      <c r="L775" t="s">
        <v>612</v>
      </c>
      <c r="M775" t="s">
        <v>613</v>
      </c>
      <c r="N775" t="s">
        <v>3395</v>
      </c>
    </row>
    <row r="776" spans="1:15" x14ac:dyDescent="0.25">
      <c r="A776" t="s">
        <v>3138</v>
      </c>
      <c r="B776" t="s">
        <v>3139</v>
      </c>
      <c r="C776" t="s">
        <v>3138</v>
      </c>
      <c r="D776" t="s">
        <v>114</v>
      </c>
      <c r="F776" s="161" t="s">
        <v>3394</v>
      </c>
      <c r="G776" t="s">
        <v>1953</v>
      </c>
      <c r="H776" s="1" t="s">
        <v>3393</v>
      </c>
      <c r="I776" t="s">
        <v>3140</v>
      </c>
      <c r="K776" t="s">
        <v>3141</v>
      </c>
      <c r="L776" t="s">
        <v>612</v>
      </c>
      <c r="M776" t="s">
        <v>613</v>
      </c>
      <c r="N776" t="s">
        <v>3395</v>
      </c>
    </row>
    <row r="777" spans="1:15" x14ac:dyDescent="0.25">
      <c r="A777" t="s">
        <v>3164</v>
      </c>
      <c r="B777" t="s">
        <v>3165</v>
      </c>
      <c r="C777" t="s">
        <v>3164</v>
      </c>
      <c r="D777" t="s">
        <v>114</v>
      </c>
      <c r="F777" s="161" t="s">
        <v>3394</v>
      </c>
      <c r="G777" t="s">
        <v>1467</v>
      </c>
      <c r="H777" s="1" t="s">
        <v>3393</v>
      </c>
      <c r="I777" t="s">
        <v>3166</v>
      </c>
      <c r="K777" t="s">
        <v>3167</v>
      </c>
      <c r="L777" t="s">
        <v>612</v>
      </c>
      <c r="M777" t="s">
        <v>613</v>
      </c>
      <c r="N777" t="s">
        <v>3395</v>
      </c>
    </row>
    <row r="778" spans="1:15" x14ac:dyDescent="0.25">
      <c r="A778" t="s">
        <v>3193</v>
      </c>
      <c r="B778" t="s">
        <v>3194</v>
      </c>
      <c r="C778" t="s">
        <v>3193</v>
      </c>
      <c r="D778" t="s">
        <v>114</v>
      </c>
      <c r="F778" s="161" t="s">
        <v>3394</v>
      </c>
      <c r="G778" t="s">
        <v>678</v>
      </c>
      <c r="H778" s="1" t="s">
        <v>3393</v>
      </c>
      <c r="I778" t="s">
        <v>1514</v>
      </c>
      <c r="K778" t="s">
        <v>3195</v>
      </c>
      <c r="L778" t="s">
        <v>612</v>
      </c>
      <c r="M778" t="s">
        <v>613</v>
      </c>
      <c r="N778" t="s">
        <v>3395</v>
      </c>
    </row>
    <row r="779" spans="1:15" x14ac:dyDescent="0.25">
      <c r="A779" t="s">
        <v>3288</v>
      </c>
      <c r="B779" t="s">
        <v>3289</v>
      </c>
      <c r="C779" t="s">
        <v>3288</v>
      </c>
      <c r="D779" t="s">
        <v>114</v>
      </c>
      <c r="F779" s="161" t="s">
        <v>3394</v>
      </c>
      <c r="G779" t="s">
        <v>678</v>
      </c>
      <c r="H779" s="1" t="s">
        <v>3393</v>
      </c>
      <c r="I779" t="s">
        <v>3290</v>
      </c>
      <c r="K779" t="s">
        <v>3291</v>
      </c>
      <c r="L779" t="s">
        <v>612</v>
      </c>
      <c r="M779" t="s">
        <v>613</v>
      </c>
      <c r="N779" t="s">
        <v>3395</v>
      </c>
    </row>
    <row r="780" spans="1:15" x14ac:dyDescent="0.25">
      <c r="A780" t="s">
        <v>3309</v>
      </c>
      <c r="B780" t="s">
        <v>3310</v>
      </c>
      <c r="C780" t="s">
        <v>3309</v>
      </c>
      <c r="D780" t="s">
        <v>114</v>
      </c>
      <c r="F780" s="161" t="s">
        <v>3394</v>
      </c>
      <c r="G780" t="s">
        <v>1431</v>
      </c>
      <c r="H780" s="1" t="s">
        <v>3393</v>
      </c>
      <c r="I780" t="s">
        <v>1972</v>
      </c>
      <c r="L780" t="s">
        <v>612</v>
      </c>
      <c r="M780" t="s">
        <v>613</v>
      </c>
      <c r="N780" t="s">
        <v>3395</v>
      </c>
    </row>
    <row r="781" spans="1:15" x14ac:dyDescent="0.25">
      <c r="A781" t="s">
        <v>3324</v>
      </c>
      <c r="B781" t="s">
        <v>3325</v>
      </c>
      <c r="C781" t="s">
        <v>3324</v>
      </c>
      <c r="D781" t="s">
        <v>114</v>
      </c>
      <c r="F781" s="161" t="s">
        <v>3394</v>
      </c>
      <c r="G781" t="s">
        <v>1431</v>
      </c>
      <c r="H781" s="1" t="s">
        <v>3393</v>
      </c>
      <c r="I781" t="s">
        <v>1972</v>
      </c>
      <c r="K781" t="s">
        <v>3326</v>
      </c>
      <c r="L781" t="s">
        <v>612</v>
      </c>
      <c r="M781" t="s">
        <v>613</v>
      </c>
      <c r="N781" t="s">
        <v>3395</v>
      </c>
    </row>
    <row r="782" spans="1:15" x14ac:dyDescent="0.25">
      <c r="A782" t="s">
        <v>629</v>
      </c>
      <c r="B782" t="s">
        <v>630</v>
      </c>
      <c r="C782" t="s">
        <v>629</v>
      </c>
      <c r="D782" t="s">
        <v>85</v>
      </c>
      <c r="F782" s="161" t="s">
        <v>3394</v>
      </c>
      <c r="G782" t="s">
        <v>631</v>
      </c>
      <c r="H782" s="1" t="s">
        <v>3393</v>
      </c>
      <c r="I782" t="s">
        <v>632</v>
      </c>
      <c r="K782" t="s">
        <v>633</v>
      </c>
      <c r="L782" t="s">
        <v>612</v>
      </c>
      <c r="M782" t="s">
        <v>613</v>
      </c>
      <c r="N782" t="s">
        <v>3396</v>
      </c>
    </row>
    <row r="783" spans="1:15" x14ac:dyDescent="0.25">
      <c r="A783" t="s">
        <v>312</v>
      </c>
      <c r="B783" t="s">
        <v>649</v>
      </c>
      <c r="C783" t="s">
        <v>312</v>
      </c>
      <c r="D783" t="s">
        <v>85</v>
      </c>
      <c r="E783" t="s">
        <v>15</v>
      </c>
      <c r="F783" s="161" t="s">
        <v>3394</v>
      </c>
      <c r="G783" t="s">
        <v>86</v>
      </c>
      <c r="H783" s="1" t="s">
        <v>3393</v>
      </c>
      <c r="I783" t="s">
        <v>650</v>
      </c>
      <c r="L783" t="s">
        <v>612</v>
      </c>
      <c r="M783" t="s">
        <v>613</v>
      </c>
      <c r="N783" t="s">
        <v>3396</v>
      </c>
      <c r="O783" s="155">
        <v>45469</v>
      </c>
    </row>
    <row r="784" spans="1:15" x14ac:dyDescent="0.25">
      <c r="A784" t="s">
        <v>659</v>
      </c>
      <c r="B784" t="s">
        <v>660</v>
      </c>
      <c r="C784" t="s">
        <v>659</v>
      </c>
      <c r="D784" t="s">
        <v>85</v>
      </c>
      <c r="F784" s="161" t="s">
        <v>3394</v>
      </c>
      <c r="G784" t="s">
        <v>661</v>
      </c>
      <c r="H784" s="1" t="s">
        <v>3393</v>
      </c>
      <c r="I784" t="s">
        <v>662</v>
      </c>
      <c r="K784" t="s">
        <v>663</v>
      </c>
      <c r="L784" t="s">
        <v>612</v>
      </c>
      <c r="M784" t="s">
        <v>613</v>
      </c>
      <c r="N784" t="s">
        <v>3396</v>
      </c>
    </row>
    <row r="785" spans="1:15" x14ac:dyDescent="0.25">
      <c r="A785" t="s">
        <v>223</v>
      </c>
      <c r="B785" t="s">
        <v>690</v>
      </c>
      <c r="C785" t="s">
        <v>223</v>
      </c>
      <c r="D785" t="s">
        <v>85</v>
      </c>
      <c r="E785" t="s">
        <v>15</v>
      </c>
      <c r="F785" s="161" t="s">
        <v>3394</v>
      </c>
      <c r="G785" t="s">
        <v>691</v>
      </c>
      <c r="H785" s="1" t="s">
        <v>3393</v>
      </c>
      <c r="I785" t="s">
        <v>692</v>
      </c>
      <c r="K785" t="s">
        <v>693</v>
      </c>
      <c r="L785" t="s">
        <v>612</v>
      </c>
      <c r="M785" t="s">
        <v>613</v>
      </c>
      <c r="N785" t="s">
        <v>3396</v>
      </c>
      <c r="O785" s="155">
        <v>45841</v>
      </c>
    </row>
    <row r="786" spans="1:15" x14ac:dyDescent="0.25">
      <c r="A786" t="s">
        <v>254</v>
      </c>
      <c r="B786" t="s">
        <v>763</v>
      </c>
      <c r="C786" t="s">
        <v>254</v>
      </c>
      <c r="D786" t="s">
        <v>85</v>
      </c>
      <c r="E786" t="s">
        <v>15</v>
      </c>
      <c r="F786" s="161" t="s">
        <v>3394</v>
      </c>
      <c r="G786" t="s">
        <v>86</v>
      </c>
      <c r="H786" s="1" t="s">
        <v>3393</v>
      </c>
      <c r="I786" t="s">
        <v>764</v>
      </c>
      <c r="K786" t="s">
        <v>765</v>
      </c>
      <c r="L786" t="s">
        <v>612</v>
      </c>
      <c r="M786" t="s">
        <v>613</v>
      </c>
      <c r="N786" t="s">
        <v>3396</v>
      </c>
      <c r="O786" s="155">
        <v>44433</v>
      </c>
    </row>
    <row r="787" spans="1:15" x14ac:dyDescent="0.25">
      <c r="A787" t="s">
        <v>273</v>
      </c>
      <c r="B787" t="s">
        <v>786</v>
      </c>
      <c r="C787" t="s">
        <v>273</v>
      </c>
      <c r="D787" t="s">
        <v>85</v>
      </c>
      <c r="E787" t="s">
        <v>19</v>
      </c>
      <c r="F787" s="161" t="s">
        <v>3394</v>
      </c>
      <c r="G787" t="s">
        <v>86</v>
      </c>
      <c r="H787" s="1" t="s">
        <v>3393</v>
      </c>
      <c r="I787" t="s">
        <v>787</v>
      </c>
      <c r="K787" t="s">
        <v>788</v>
      </c>
      <c r="L787" t="s">
        <v>612</v>
      </c>
      <c r="M787" t="s">
        <v>613</v>
      </c>
      <c r="N787" t="s">
        <v>3396</v>
      </c>
      <c r="O787" s="155">
        <v>43913</v>
      </c>
    </row>
    <row r="788" spans="1:15" x14ac:dyDescent="0.25">
      <c r="A788" t="s">
        <v>210</v>
      </c>
      <c r="B788" t="s">
        <v>802</v>
      </c>
      <c r="C788" t="s">
        <v>210</v>
      </c>
      <c r="D788" t="s">
        <v>85</v>
      </c>
      <c r="E788" t="s">
        <v>15</v>
      </c>
      <c r="F788" s="161" t="s">
        <v>3394</v>
      </c>
      <c r="G788" t="s">
        <v>211</v>
      </c>
      <c r="H788" s="1" t="s">
        <v>3393</v>
      </c>
      <c r="I788" t="s">
        <v>796</v>
      </c>
      <c r="K788" t="s">
        <v>803</v>
      </c>
      <c r="L788" t="s">
        <v>612</v>
      </c>
      <c r="M788" t="s">
        <v>613</v>
      </c>
      <c r="N788" t="s">
        <v>3396</v>
      </c>
      <c r="O788" s="155">
        <v>45421</v>
      </c>
    </row>
    <row r="789" spans="1:15" x14ac:dyDescent="0.25">
      <c r="A789" t="s">
        <v>804</v>
      </c>
      <c r="B789" t="s">
        <v>805</v>
      </c>
      <c r="C789" t="s">
        <v>804</v>
      </c>
      <c r="D789" t="s">
        <v>85</v>
      </c>
      <c r="F789" s="161" t="s">
        <v>3394</v>
      </c>
      <c r="G789" t="s">
        <v>806</v>
      </c>
      <c r="H789" s="1" t="s">
        <v>3393</v>
      </c>
      <c r="I789" t="s">
        <v>791</v>
      </c>
      <c r="K789" t="s">
        <v>807</v>
      </c>
      <c r="L789" t="s">
        <v>612</v>
      </c>
      <c r="M789" t="s">
        <v>613</v>
      </c>
      <c r="N789" t="s">
        <v>3396</v>
      </c>
    </row>
    <row r="790" spans="1:15" x14ac:dyDescent="0.25">
      <c r="A790" t="s">
        <v>258</v>
      </c>
      <c r="B790" t="s">
        <v>835</v>
      </c>
      <c r="C790" t="s">
        <v>258</v>
      </c>
      <c r="D790" t="s">
        <v>85</v>
      </c>
      <c r="E790" t="s">
        <v>19</v>
      </c>
      <c r="F790" s="161" t="s">
        <v>3394</v>
      </c>
      <c r="G790" t="s">
        <v>836</v>
      </c>
      <c r="H790" s="1" t="s">
        <v>3393</v>
      </c>
      <c r="I790" t="s">
        <v>837</v>
      </c>
      <c r="K790" t="s">
        <v>838</v>
      </c>
      <c r="L790" t="s">
        <v>612</v>
      </c>
      <c r="M790" t="s">
        <v>613</v>
      </c>
      <c r="N790" t="s">
        <v>3396</v>
      </c>
      <c r="O790" s="155">
        <v>44379</v>
      </c>
    </row>
    <row r="791" spans="1:15" x14ac:dyDescent="0.25">
      <c r="A791" t="s">
        <v>356</v>
      </c>
      <c r="B791" t="s">
        <v>855</v>
      </c>
      <c r="C791" t="s">
        <v>356</v>
      </c>
      <c r="D791" t="s">
        <v>85</v>
      </c>
      <c r="E791" t="s">
        <v>19</v>
      </c>
      <c r="F791" s="161" t="s">
        <v>3394</v>
      </c>
      <c r="G791" t="s">
        <v>856</v>
      </c>
      <c r="H791" s="1" t="s">
        <v>3393</v>
      </c>
      <c r="I791" t="s">
        <v>857</v>
      </c>
      <c r="L791" t="s">
        <v>612</v>
      </c>
      <c r="M791" t="s">
        <v>613</v>
      </c>
      <c r="N791" t="s">
        <v>3396</v>
      </c>
      <c r="O791" s="155">
        <v>45999</v>
      </c>
    </row>
    <row r="792" spans="1:15" x14ac:dyDescent="0.25">
      <c r="A792" t="s">
        <v>865</v>
      </c>
      <c r="B792" t="s">
        <v>866</v>
      </c>
      <c r="C792" t="s">
        <v>865</v>
      </c>
      <c r="D792" t="s">
        <v>85</v>
      </c>
      <c r="F792" s="161" t="s">
        <v>3394</v>
      </c>
      <c r="G792" t="s">
        <v>856</v>
      </c>
      <c r="H792" s="1" t="s">
        <v>3393</v>
      </c>
      <c r="I792" t="s">
        <v>867</v>
      </c>
      <c r="L792" t="s">
        <v>612</v>
      </c>
      <c r="M792" t="s">
        <v>613</v>
      </c>
      <c r="N792" t="s">
        <v>3396</v>
      </c>
    </row>
    <row r="793" spans="1:15" x14ac:dyDescent="0.25">
      <c r="A793" t="s">
        <v>266</v>
      </c>
      <c r="B793" t="s">
        <v>887</v>
      </c>
      <c r="C793" t="s">
        <v>266</v>
      </c>
      <c r="D793" t="s">
        <v>85</v>
      </c>
      <c r="E793" t="s">
        <v>19</v>
      </c>
      <c r="F793" s="161" t="s">
        <v>3394</v>
      </c>
      <c r="G793" t="s">
        <v>86</v>
      </c>
      <c r="H793" s="1" t="s">
        <v>3393</v>
      </c>
      <c r="I793" t="s">
        <v>888</v>
      </c>
      <c r="K793" t="s">
        <v>889</v>
      </c>
      <c r="L793" t="s">
        <v>612</v>
      </c>
      <c r="M793" t="s">
        <v>613</v>
      </c>
      <c r="N793" t="s">
        <v>3396</v>
      </c>
      <c r="O793" s="155" t="s">
        <v>267</v>
      </c>
    </row>
    <row r="794" spans="1:15" x14ac:dyDescent="0.25">
      <c r="A794" t="s">
        <v>233</v>
      </c>
      <c r="B794" t="s">
        <v>931</v>
      </c>
      <c r="C794" t="s">
        <v>233</v>
      </c>
      <c r="D794" t="s">
        <v>85</v>
      </c>
      <c r="E794" t="s">
        <v>15</v>
      </c>
      <c r="F794" s="161" t="s">
        <v>3394</v>
      </c>
      <c r="G794" t="s">
        <v>86</v>
      </c>
      <c r="H794" s="1" t="s">
        <v>3393</v>
      </c>
      <c r="I794" t="s">
        <v>932</v>
      </c>
      <c r="K794" t="s">
        <v>933</v>
      </c>
      <c r="L794" t="s">
        <v>612</v>
      </c>
      <c r="M794" t="s">
        <v>613</v>
      </c>
      <c r="N794" t="s">
        <v>3396</v>
      </c>
      <c r="O794" s="155">
        <v>43944</v>
      </c>
    </row>
    <row r="795" spans="1:15" x14ac:dyDescent="0.25">
      <c r="A795" t="s">
        <v>250</v>
      </c>
      <c r="B795" t="s">
        <v>969</v>
      </c>
      <c r="C795" t="s">
        <v>250</v>
      </c>
      <c r="D795" t="s">
        <v>85</v>
      </c>
      <c r="E795" t="s">
        <v>15</v>
      </c>
      <c r="F795" s="161" t="s">
        <v>3394</v>
      </c>
      <c r="G795" t="s">
        <v>86</v>
      </c>
      <c r="H795" s="1" t="s">
        <v>3393</v>
      </c>
      <c r="I795" t="s">
        <v>970</v>
      </c>
      <c r="K795" t="s">
        <v>971</v>
      </c>
      <c r="L795" t="s">
        <v>612</v>
      </c>
      <c r="M795" t="s">
        <v>613</v>
      </c>
      <c r="N795" t="s">
        <v>3396</v>
      </c>
      <c r="O795" s="155">
        <v>42917</v>
      </c>
    </row>
    <row r="796" spans="1:15" x14ac:dyDescent="0.25">
      <c r="A796" t="s">
        <v>271</v>
      </c>
      <c r="B796" t="s">
        <v>972</v>
      </c>
      <c r="C796" t="s">
        <v>271</v>
      </c>
      <c r="D796" t="s">
        <v>85</v>
      </c>
      <c r="E796" t="s">
        <v>19</v>
      </c>
      <c r="F796" s="161" t="s">
        <v>3394</v>
      </c>
      <c r="G796" t="s">
        <v>661</v>
      </c>
      <c r="H796" s="1" t="s">
        <v>3393</v>
      </c>
      <c r="I796" t="s">
        <v>973</v>
      </c>
      <c r="L796" t="s">
        <v>612</v>
      </c>
      <c r="M796" t="s">
        <v>613</v>
      </c>
      <c r="N796" t="s">
        <v>3396</v>
      </c>
      <c r="O796" s="155">
        <v>45482</v>
      </c>
    </row>
    <row r="797" spans="1:15" x14ac:dyDescent="0.25">
      <c r="A797" t="s">
        <v>974</v>
      </c>
      <c r="B797" t="s">
        <v>975</v>
      </c>
      <c r="C797" t="s">
        <v>974</v>
      </c>
      <c r="D797" t="s">
        <v>85</v>
      </c>
      <c r="F797" s="161" t="s">
        <v>3394</v>
      </c>
      <c r="G797" t="s">
        <v>86</v>
      </c>
      <c r="H797" s="1" t="s">
        <v>3393</v>
      </c>
      <c r="I797" t="s">
        <v>929</v>
      </c>
      <c r="L797" t="s">
        <v>612</v>
      </c>
      <c r="M797" t="s">
        <v>613</v>
      </c>
      <c r="N797" t="s">
        <v>3396</v>
      </c>
    </row>
    <row r="798" spans="1:15" x14ac:dyDescent="0.25">
      <c r="A798" t="s">
        <v>260</v>
      </c>
      <c r="B798" t="s">
        <v>976</v>
      </c>
      <c r="C798" t="s">
        <v>260</v>
      </c>
      <c r="D798" t="s">
        <v>85</v>
      </c>
      <c r="E798" t="s">
        <v>19</v>
      </c>
      <c r="F798" s="161" t="s">
        <v>3394</v>
      </c>
      <c r="G798" t="s">
        <v>86</v>
      </c>
      <c r="H798" s="1" t="s">
        <v>3393</v>
      </c>
      <c r="I798" t="s">
        <v>977</v>
      </c>
      <c r="L798" t="s">
        <v>612</v>
      </c>
      <c r="M798" t="s">
        <v>613</v>
      </c>
      <c r="N798" t="s">
        <v>3396</v>
      </c>
      <c r="O798" s="155">
        <v>46113</v>
      </c>
    </row>
    <row r="799" spans="1:15" x14ac:dyDescent="0.25">
      <c r="A799" t="s">
        <v>301</v>
      </c>
      <c r="B799" t="s">
        <v>1026</v>
      </c>
      <c r="C799" t="s">
        <v>301</v>
      </c>
      <c r="D799" t="s">
        <v>85</v>
      </c>
      <c r="E799" t="s">
        <v>15</v>
      </c>
      <c r="F799" s="161" t="s">
        <v>3394</v>
      </c>
      <c r="G799" t="s">
        <v>1027</v>
      </c>
      <c r="H799" s="1" t="s">
        <v>3393</v>
      </c>
      <c r="I799" t="s">
        <v>1028</v>
      </c>
      <c r="K799" t="s">
        <v>1029</v>
      </c>
      <c r="L799" t="s">
        <v>612</v>
      </c>
      <c r="M799" t="s">
        <v>613</v>
      </c>
      <c r="N799" t="s">
        <v>3396</v>
      </c>
      <c r="O799" s="155">
        <v>44998</v>
      </c>
    </row>
    <row r="800" spans="1:15" x14ac:dyDescent="0.25">
      <c r="A800" t="s">
        <v>242</v>
      </c>
      <c r="B800" t="s">
        <v>1052</v>
      </c>
      <c r="C800" t="s">
        <v>242</v>
      </c>
      <c r="D800" t="s">
        <v>85</v>
      </c>
      <c r="E800" t="s">
        <v>15</v>
      </c>
      <c r="F800" s="161" t="s">
        <v>3394</v>
      </c>
      <c r="G800" t="s">
        <v>86</v>
      </c>
      <c r="H800" s="1" t="s">
        <v>3393</v>
      </c>
      <c r="I800" t="s">
        <v>1053</v>
      </c>
      <c r="K800" t="s">
        <v>1054</v>
      </c>
      <c r="L800" t="s">
        <v>612</v>
      </c>
      <c r="M800" t="s">
        <v>613</v>
      </c>
      <c r="N800" t="s">
        <v>3396</v>
      </c>
      <c r="O800" s="155">
        <v>44754</v>
      </c>
    </row>
    <row r="801" spans="1:15" x14ac:dyDescent="0.25">
      <c r="A801" t="s">
        <v>1094</v>
      </c>
      <c r="B801" t="s">
        <v>1095</v>
      </c>
      <c r="C801" t="s">
        <v>1094</v>
      </c>
      <c r="D801" t="s">
        <v>85</v>
      </c>
      <c r="F801" s="161" t="s">
        <v>3394</v>
      </c>
      <c r="G801" t="s">
        <v>86</v>
      </c>
      <c r="H801" s="1" t="s">
        <v>3393</v>
      </c>
      <c r="I801" t="s">
        <v>662</v>
      </c>
      <c r="K801" t="s">
        <v>1096</v>
      </c>
      <c r="L801" t="s">
        <v>612</v>
      </c>
      <c r="M801" t="s">
        <v>613</v>
      </c>
      <c r="N801" t="s">
        <v>3396</v>
      </c>
    </row>
    <row r="802" spans="1:15" x14ac:dyDescent="0.25">
      <c r="A802" t="s">
        <v>295</v>
      </c>
      <c r="B802" t="s">
        <v>1131</v>
      </c>
      <c r="C802" t="s">
        <v>295</v>
      </c>
      <c r="D802" t="s">
        <v>85</v>
      </c>
      <c r="E802" t="s">
        <v>15</v>
      </c>
      <c r="F802" s="161" t="s">
        <v>3394</v>
      </c>
      <c r="G802" t="s">
        <v>661</v>
      </c>
      <c r="H802" s="1" t="s">
        <v>3393</v>
      </c>
      <c r="I802" t="s">
        <v>1132</v>
      </c>
      <c r="K802" t="s">
        <v>1133</v>
      </c>
      <c r="L802" t="s">
        <v>612</v>
      </c>
      <c r="M802" t="s">
        <v>613</v>
      </c>
      <c r="N802" t="s">
        <v>3396</v>
      </c>
      <c r="O802" s="155">
        <v>44466</v>
      </c>
    </row>
    <row r="803" spans="1:15" x14ac:dyDescent="0.25">
      <c r="A803" t="s">
        <v>1143</v>
      </c>
      <c r="B803" t="s">
        <v>1144</v>
      </c>
      <c r="C803" t="s">
        <v>1143</v>
      </c>
      <c r="D803" t="s">
        <v>85</v>
      </c>
      <c r="F803" s="161" t="s">
        <v>3394</v>
      </c>
      <c r="G803" t="s">
        <v>691</v>
      </c>
      <c r="H803" s="1" t="s">
        <v>3393</v>
      </c>
      <c r="I803" t="s">
        <v>1145</v>
      </c>
      <c r="K803" t="s">
        <v>1146</v>
      </c>
      <c r="L803" t="s">
        <v>612</v>
      </c>
      <c r="M803" t="s">
        <v>613</v>
      </c>
      <c r="N803" t="s">
        <v>3396</v>
      </c>
    </row>
    <row r="804" spans="1:15" x14ac:dyDescent="0.25">
      <c r="A804" t="s">
        <v>1155</v>
      </c>
      <c r="B804" t="s">
        <v>1156</v>
      </c>
      <c r="C804" t="s">
        <v>1155</v>
      </c>
      <c r="D804" t="s">
        <v>85</v>
      </c>
      <c r="F804" s="161" t="s">
        <v>3394</v>
      </c>
      <c r="G804" t="s">
        <v>631</v>
      </c>
      <c r="H804" s="1" t="s">
        <v>3393</v>
      </c>
      <c r="I804" t="s">
        <v>1157</v>
      </c>
      <c r="K804" t="s">
        <v>1158</v>
      </c>
      <c r="L804" t="s">
        <v>612</v>
      </c>
      <c r="M804" t="s">
        <v>613</v>
      </c>
      <c r="N804" t="s">
        <v>3396</v>
      </c>
    </row>
    <row r="805" spans="1:15" x14ac:dyDescent="0.25">
      <c r="A805" t="s">
        <v>239</v>
      </c>
      <c r="B805" t="s">
        <v>1176</v>
      </c>
      <c r="C805" t="s">
        <v>239</v>
      </c>
      <c r="D805" t="s">
        <v>85</v>
      </c>
      <c r="E805" t="s">
        <v>15</v>
      </c>
      <c r="F805" s="161" t="s">
        <v>3394</v>
      </c>
      <c r="G805" t="s">
        <v>86</v>
      </c>
      <c r="H805" s="1" t="s">
        <v>3393</v>
      </c>
      <c r="I805" t="s">
        <v>1177</v>
      </c>
      <c r="L805" t="s">
        <v>612</v>
      </c>
      <c r="M805" t="s">
        <v>613</v>
      </c>
      <c r="N805" t="s">
        <v>3396</v>
      </c>
      <c r="O805" s="155">
        <v>45957</v>
      </c>
    </row>
    <row r="806" spans="1:15" x14ac:dyDescent="0.25">
      <c r="A806" t="s">
        <v>1200</v>
      </c>
      <c r="B806" t="s">
        <v>1201</v>
      </c>
      <c r="C806" t="s">
        <v>1200</v>
      </c>
      <c r="D806" t="s">
        <v>85</v>
      </c>
      <c r="F806" s="161" t="s">
        <v>3394</v>
      </c>
      <c r="G806" t="s">
        <v>211</v>
      </c>
      <c r="H806" s="1" t="s">
        <v>3393</v>
      </c>
      <c r="I806" t="s">
        <v>1202</v>
      </c>
      <c r="L806" t="s">
        <v>612</v>
      </c>
      <c r="M806" t="s">
        <v>613</v>
      </c>
      <c r="N806" t="s">
        <v>3396</v>
      </c>
    </row>
    <row r="807" spans="1:15" x14ac:dyDescent="0.25">
      <c r="A807" t="s">
        <v>226</v>
      </c>
      <c r="B807" t="s">
        <v>1208</v>
      </c>
      <c r="C807" t="s">
        <v>226</v>
      </c>
      <c r="D807" t="s">
        <v>85</v>
      </c>
      <c r="E807" t="s">
        <v>15</v>
      </c>
      <c r="F807" s="161" t="s">
        <v>3394</v>
      </c>
      <c r="G807" t="s">
        <v>86</v>
      </c>
      <c r="H807" s="1" t="s">
        <v>3393</v>
      </c>
      <c r="I807" t="s">
        <v>1209</v>
      </c>
      <c r="L807" t="s">
        <v>612</v>
      </c>
      <c r="M807" t="s">
        <v>613</v>
      </c>
      <c r="N807" t="s">
        <v>3396</v>
      </c>
      <c r="O807" s="155">
        <v>46197</v>
      </c>
    </row>
    <row r="808" spans="1:15" x14ac:dyDescent="0.25">
      <c r="A808" t="s">
        <v>156</v>
      </c>
      <c r="B808" t="s">
        <v>1225</v>
      </c>
      <c r="C808" t="s">
        <v>156</v>
      </c>
      <c r="D808" t="s">
        <v>85</v>
      </c>
      <c r="E808" t="s">
        <v>15</v>
      </c>
      <c r="F808" s="161" t="s">
        <v>3394</v>
      </c>
      <c r="G808" t="s">
        <v>1226</v>
      </c>
      <c r="H808" s="1" t="s">
        <v>3393</v>
      </c>
      <c r="I808" t="s">
        <v>1227</v>
      </c>
      <c r="K808" t="s">
        <v>1228</v>
      </c>
      <c r="L808" t="s">
        <v>612</v>
      </c>
      <c r="M808" t="s">
        <v>613</v>
      </c>
      <c r="N808" t="s">
        <v>3396</v>
      </c>
      <c r="O808" s="155">
        <v>44684</v>
      </c>
    </row>
    <row r="809" spans="1:15" x14ac:dyDescent="0.25">
      <c r="A809" t="s">
        <v>270</v>
      </c>
      <c r="B809" t="s">
        <v>1236</v>
      </c>
      <c r="C809" t="s">
        <v>270</v>
      </c>
      <c r="D809" t="s">
        <v>85</v>
      </c>
      <c r="E809" t="s">
        <v>19</v>
      </c>
      <c r="F809" s="161" t="s">
        <v>3394</v>
      </c>
      <c r="G809" t="s">
        <v>661</v>
      </c>
      <c r="H809" s="1" t="s">
        <v>3393</v>
      </c>
      <c r="I809" t="s">
        <v>1237</v>
      </c>
      <c r="K809" t="s">
        <v>1238</v>
      </c>
      <c r="L809" t="s">
        <v>612</v>
      </c>
      <c r="M809" t="s">
        <v>613</v>
      </c>
      <c r="N809" t="s">
        <v>3396</v>
      </c>
      <c r="O809" s="155">
        <v>43535</v>
      </c>
    </row>
    <row r="810" spans="1:15" x14ac:dyDescent="0.25">
      <c r="A810" t="s">
        <v>1325</v>
      </c>
      <c r="B810" t="s">
        <v>1326</v>
      </c>
      <c r="C810" t="s">
        <v>1325</v>
      </c>
      <c r="D810" t="s">
        <v>85</v>
      </c>
      <c r="F810" s="161" t="s">
        <v>3394</v>
      </c>
      <c r="G810" t="s">
        <v>86</v>
      </c>
      <c r="H810" s="1" t="s">
        <v>3393</v>
      </c>
      <c r="I810" t="s">
        <v>1327</v>
      </c>
      <c r="L810" t="s">
        <v>612</v>
      </c>
      <c r="M810" t="s">
        <v>613</v>
      </c>
      <c r="N810" t="s">
        <v>3396</v>
      </c>
    </row>
    <row r="811" spans="1:15" x14ac:dyDescent="0.25">
      <c r="A811" t="s">
        <v>1354</v>
      </c>
      <c r="B811" t="s">
        <v>1355</v>
      </c>
      <c r="C811" t="s">
        <v>1354</v>
      </c>
      <c r="D811" t="s">
        <v>85</v>
      </c>
      <c r="F811" s="161" t="s">
        <v>3394</v>
      </c>
      <c r="G811" t="s">
        <v>661</v>
      </c>
      <c r="H811" s="1" t="s">
        <v>3393</v>
      </c>
      <c r="I811" t="s">
        <v>632</v>
      </c>
      <c r="K811" t="s">
        <v>1356</v>
      </c>
      <c r="L811" t="s">
        <v>612</v>
      </c>
      <c r="M811" t="s">
        <v>613</v>
      </c>
      <c r="N811" t="s">
        <v>3396</v>
      </c>
    </row>
    <row r="812" spans="1:15" x14ac:dyDescent="0.25">
      <c r="A812" t="s">
        <v>1357</v>
      </c>
      <c r="B812" t="s">
        <v>1358</v>
      </c>
      <c r="C812" t="s">
        <v>1357</v>
      </c>
      <c r="D812" t="s">
        <v>85</v>
      </c>
      <c r="F812" s="161" t="s">
        <v>3394</v>
      </c>
      <c r="G812" t="s">
        <v>836</v>
      </c>
      <c r="H812" s="1" t="s">
        <v>3393</v>
      </c>
      <c r="I812" t="s">
        <v>791</v>
      </c>
      <c r="K812" t="s">
        <v>1359</v>
      </c>
      <c r="L812" t="s">
        <v>612</v>
      </c>
      <c r="M812" t="s">
        <v>613</v>
      </c>
      <c r="N812" t="s">
        <v>3396</v>
      </c>
    </row>
    <row r="813" spans="1:15" x14ac:dyDescent="0.25">
      <c r="A813" t="s">
        <v>1371</v>
      </c>
      <c r="B813" t="s">
        <v>1372</v>
      </c>
      <c r="C813" t="s">
        <v>1371</v>
      </c>
      <c r="D813" t="s">
        <v>85</v>
      </c>
      <c r="F813" s="161" t="s">
        <v>3394</v>
      </c>
      <c r="G813" t="s">
        <v>1373</v>
      </c>
      <c r="H813" s="1" t="s">
        <v>3393</v>
      </c>
      <c r="I813" t="s">
        <v>791</v>
      </c>
      <c r="K813" t="s">
        <v>1374</v>
      </c>
      <c r="L813" t="s">
        <v>612</v>
      </c>
      <c r="M813" t="s">
        <v>613</v>
      </c>
      <c r="N813" t="s">
        <v>3396</v>
      </c>
    </row>
    <row r="814" spans="1:15" x14ac:dyDescent="0.25">
      <c r="A814" t="s">
        <v>1422</v>
      </c>
      <c r="B814" t="s">
        <v>1423</v>
      </c>
      <c r="C814" t="s">
        <v>1422</v>
      </c>
      <c r="D814" t="s">
        <v>85</v>
      </c>
      <c r="F814" s="161" t="s">
        <v>3394</v>
      </c>
      <c r="G814" t="s">
        <v>691</v>
      </c>
      <c r="H814" s="1" t="s">
        <v>3393</v>
      </c>
      <c r="I814" t="s">
        <v>1424</v>
      </c>
      <c r="K814" t="s">
        <v>1425</v>
      </c>
      <c r="L814" t="s">
        <v>612</v>
      </c>
      <c r="M814" t="s">
        <v>613</v>
      </c>
      <c r="N814" t="s">
        <v>3396</v>
      </c>
    </row>
    <row r="815" spans="1:15" x14ac:dyDescent="0.25">
      <c r="A815" t="s">
        <v>1437</v>
      </c>
      <c r="B815" t="s">
        <v>1438</v>
      </c>
      <c r="C815" t="s">
        <v>1437</v>
      </c>
      <c r="D815" t="s">
        <v>85</v>
      </c>
      <c r="F815" s="161" t="s">
        <v>3394</v>
      </c>
      <c r="G815" t="s">
        <v>691</v>
      </c>
      <c r="H815" s="1" t="s">
        <v>3393</v>
      </c>
      <c r="I815" t="s">
        <v>769</v>
      </c>
      <c r="L815" t="s">
        <v>612</v>
      </c>
      <c r="M815" t="s">
        <v>613</v>
      </c>
      <c r="N815" t="s">
        <v>3396</v>
      </c>
    </row>
    <row r="816" spans="1:15" x14ac:dyDescent="0.25">
      <c r="A816" t="s">
        <v>1452</v>
      </c>
      <c r="B816" t="s">
        <v>1453</v>
      </c>
      <c r="C816" t="s">
        <v>1452</v>
      </c>
      <c r="D816" t="s">
        <v>85</v>
      </c>
      <c r="F816" s="161" t="s">
        <v>3394</v>
      </c>
      <c r="G816" t="s">
        <v>1454</v>
      </c>
      <c r="H816" s="1" t="s">
        <v>3393</v>
      </c>
      <c r="I816" t="s">
        <v>791</v>
      </c>
      <c r="K816" t="s">
        <v>1455</v>
      </c>
      <c r="L816" t="s">
        <v>612</v>
      </c>
      <c r="M816" t="s">
        <v>613</v>
      </c>
      <c r="N816" t="s">
        <v>3396</v>
      </c>
    </row>
    <row r="817" spans="1:15" x14ac:dyDescent="0.25">
      <c r="A817" t="s">
        <v>96</v>
      </c>
      <c r="B817" t="s">
        <v>1516</v>
      </c>
      <c r="C817" t="s">
        <v>96</v>
      </c>
      <c r="D817" t="s">
        <v>85</v>
      </c>
      <c r="E817" t="s">
        <v>15</v>
      </c>
      <c r="F817" s="161" t="s">
        <v>3394</v>
      </c>
      <c r="G817" t="s">
        <v>86</v>
      </c>
      <c r="H817" s="1" t="s">
        <v>3393</v>
      </c>
      <c r="I817" t="s">
        <v>1517</v>
      </c>
      <c r="L817" t="s">
        <v>612</v>
      </c>
      <c r="M817" t="s">
        <v>613</v>
      </c>
      <c r="N817" t="s">
        <v>3396</v>
      </c>
      <c r="O817" s="155">
        <v>45292</v>
      </c>
    </row>
    <row r="818" spans="1:15" x14ac:dyDescent="0.25">
      <c r="A818" t="s">
        <v>1544</v>
      </c>
      <c r="B818" t="s">
        <v>1545</v>
      </c>
      <c r="C818" t="s">
        <v>1544</v>
      </c>
      <c r="D818" t="s">
        <v>85</v>
      </c>
      <c r="F818" s="161" t="s">
        <v>3394</v>
      </c>
      <c r="G818" t="s">
        <v>661</v>
      </c>
      <c r="H818" s="1" t="s">
        <v>3393</v>
      </c>
      <c r="I818" t="s">
        <v>1546</v>
      </c>
      <c r="K818" t="s">
        <v>1547</v>
      </c>
      <c r="L818" t="s">
        <v>612</v>
      </c>
      <c r="M818" t="s">
        <v>613</v>
      </c>
      <c r="N818" t="s">
        <v>3396</v>
      </c>
    </row>
    <row r="819" spans="1:15" x14ac:dyDescent="0.25">
      <c r="A819" t="s">
        <v>1578</v>
      </c>
      <c r="B819" t="s">
        <v>1579</v>
      </c>
      <c r="C819" t="s">
        <v>1578</v>
      </c>
      <c r="D819" t="s">
        <v>85</v>
      </c>
      <c r="F819" s="161" t="s">
        <v>3394</v>
      </c>
      <c r="G819" t="s">
        <v>86</v>
      </c>
      <c r="H819" s="1" t="s">
        <v>3393</v>
      </c>
      <c r="I819" t="s">
        <v>1580</v>
      </c>
      <c r="K819" t="s">
        <v>1581</v>
      </c>
      <c r="L819" t="s">
        <v>612</v>
      </c>
      <c r="M819" t="s">
        <v>613</v>
      </c>
      <c r="N819" t="s">
        <v>3396</v>
      </c>
    </row>
    <row r="820" spans="1:15" x14ac:dyDescent="0.25">
      <c r="A820" t="s">
        <v>256</v>
      </c>
      <c r="B820" t="s">
        <v>1655</v>
      </c>
      <c r="C820" t="s">
        <v>256</v>
      </c>
      <c r="D820" t="s">
        <v>85</v>
      </c>
      <c r="E820" t="s">
        <v>19</v>
      </c>
      <c r="F820" s="161" t="s">
        <v>3394</v>
      </c>
      <c r="G820" t="s">
        <v>1656</v>
      </c>
      <c r="H820" s="1" t="s">
        <v>3393</v>
      </c>
      <c r="I820" t="s">
        <v>1657</v>
      </c>
      <c r="K820" t="s">
        <v>1658</v>
      </c>
      <c r="L820" t="s">
        <v>612</v>
      </c>
      <c r="M820" t="s">
        <v>613</v>
      </c>
      <c r="N820" t="s">
        <v>3396</v>
      </c>
      <c r="O820" s="155" t="s">
        <v>257</v>
      </c>
    </row>
    <row r="821" spans="1:15" x14ac:dyDescent="0.25">
      <c r="A821" t="s">
        <v>236</v>
      </c>
      <c r="B821" t="s">
        <v>1674</v>
      </c>
      <c r="C821" t="s">
        <v>236</v>
      </c>
      <c r="D821" t="s">
        <v>85</v>
      </c>
      <c r="E821" t="s">
        <v>15</v>
      </c>
      <c r="F821" s="161" t="s">
        <v>3394</v>
      </c>
      <c r="G821" t="s">
        <v>86</v>
      </c>
      <c r="H821" s="1" t="s">
        <v>3393</v>
      </c>
      <c r="I821" t="s">
        <v>1675</v>
      </c>
      <c r="K821" t="s">
        <v>1676</v>
      </c>
      <c r="L821" t="s">
        <v>612</v>
      </c>
      <c r="M821" t="s">
        <v>613</v>
      </c>
      <c r="N821" t="s">
        <v>3396</v>
      </c>
      <c r="O821" s="155">
        <v>44018</v>
      </c>
    </row>
    <row r="822" spans="1:15" x14ac:dyDescent="0.25">
      <c r="A822" t="s">
        <v>1686</v>
      </c>
      <c r="B822" t="s">
        <v>1687</v>
      </c>
      <c r="C822" t="s">
        <v>1686</v>
      </c>
      <c r="D822" t="s">
        <v>85</v>
      </c>
      <c r="F822" s="161" t="s">
        <v>3394</v>
      </c>
      <c r="G822" t="s">
        <v>86</v>
      </c>
      <c r="H822" s="1" t="s">
        <v>3393</v>
      </c>
      <c r="I822" t="s">
        <v>1688</v>
      </c>
      <c r="K822" t="s">
        <v>1689</v>
      </c>
      <c r="L822" t="s">
        <v>612</v>
      </c>
      <c r="M822" t="s">
        <v>613</v>
      </c>
      <c r="N822" t="s">
        <v>3396</v>
      </c>
    </row>
    <row r="823" spans="1:15" x14ac:dyDescent="0.25">
      <c r="A823" t="s">
        <v>1711</v>
      </c>
      <c r="B823" t="s">
        <v>1712</v>
      </c>
      <c r="C823" t="s">
        <v>1711</v>
      </c>
      <c r="D823" t="s">
        <v>85</v>
      </c>
      <c r="F823" s="161" t="s">
        <v>3394</v>
      </c>
      <c r="G823" t="s">
        <v>211</v>
      </c>
      <c r="H823" s="1" t="s">
        <v>3393</v>
      </c>
      <c r="I823" t="s">
        <v>1713</v>
      </c>
      <c r="K823" t="s">
        <v>1714</v>
      </c>
      <c r="L823" t="s">
        <v>612</v>
      </c>
      <c r="M823" t="s">
        <v>613</v>
      </c>
      <c r="N823" t="s">
        <v>3396</v>
      </c>
    </row>
    <row r="824" spans="1:15" x14ac:dyDescent="0.25">
      <c r="A824" t="s">
        <v>404</v>
      </c>
      <c r="B824" t="s">
        <v>1734</v>
      </c>
      <c r="C824" t="s">
        <v>404</v>
      </c>
      <c r="D824" t="s">
        <v>85</v>
      </c>
      <c r="E824" t="s">
        <v>15</v>
      </c>
      <c r="F824" s="161" t="s">
        <v>3394</v>
      </c>
      <c r="G824" t="s">
        <v>211</v>
      </c>
      <c r="H824" s="1" t="s">
        <v>3393</v>
      </c>
      <c r="I824" t="s">
        <v>756</v>
      </c>
      <c r="L824" t="s">
        <v>612</v>
      </c>
      <c r="M824" t="s">
        <v>613</v>
      </c>
      <c r="N824" t="s">
        <v>3396</v>
      </c>
      <c r="O824" s="155">
        <v>46087</v>
      </c>
    </row>
    <row r="825" spans="1:15" x14ac:dyDescent="0.25">
      <c r="A825" t="s">
        <v>212</v>
      </c>
      <c r="B825" t="s">
        <v>1755</v>
      </c>
      <c r="C825" t="s">
        <v>212</v>
      </c>
      <c r="D825" t="s">
        <v>85</v>
      </c>
      <c r="E825" t="s">
        <v>15</v>
      </c>
      <c r="F825" s="161" t="s">
        <v>3394</v>
      </c>
      <c r="G825" t="s">
        <v>211</v>
      </c>
      <c r="H825" s="1" t="s">
        <v>3393</v>
      </c>
      <c r="I825" t="s">
        <v>1756</v>
      </c>
      <c r="K825" t="s">
        <v>1757</v>
      </c>
      <c r="L825" t="s">
        <v>612</v>
      </c>
      <c r="M825" t="s">
        <v>613</v>
      </c>
      <c r="N825" t="s">
        <v>3396</v>
      </c>
      <c r="O825" s="155">
        <v>45421</v>
      </c>
    </row>
    <row r="826" spans="1:15" x14ac:dyDescent="0.25">
      <c r="A826" t="s">
        <v>123</v>
      </c>
      <c r="B826" t="s">
        <v>1866</v>
      </c>
      <c r="C826" t="s">
        <v>123</v>
      </c>
      <c r="D826" t="s">
        <v>85</v>
      </c>
      <c r="E826" t="s">
        <v>15</v>
      </c>
      <c r="F826" s="161" t="s">
        <v>3394</v>
      </c>
      <c r="G826" t="s">
        <v>86</v>
      </c>
      <c r="H826" s="1" t="s">
        <v>3393</v>
      </c>
      <c r="I826" t="s">
        <v>1867</v>
      </c>
      <c r="L826" t="s">
        <v>612</v>
      </c>
      <c r="M826" t="s">
        <v>613</v>
      </c>
      <c r="N826" t="s">
        <v>3396</v>
      </c>
      <c r="O826" s="155">
        <v>46199</v>
      </c>
    </row>
    <row r="827" spans="1:15" x14ac:dyDescent="0.25">
      <c r="A827" t="s">
        <v>225</v>
      </c>
      <c r="B827" t="s">
        <v>1949</v>
      </c>
      <c r="C827" t="s">
        <v>225</v>
      </c>
      <c r="D827" t="s">
        <v>85</v>
      </c>
      <c r="E827" t="s">
        <v>15</v>
      </c>
      <c r="F827" s="161" t="s">
        <v>3394</v>
      </c>
      <c r="G827" t="s">
        <v>86</v>
      </c>
      <c r="H827" s="1" t="s">
        <v>3393</v>
      </c>
      <c r="I827" t="s">
        <v>666</v>
      </c>
      <c r="K827" t="s">
        <v>1950</v>
      </c>
      <c r="L827" t="s">
        <v>612</v>
      </c>
      <c r="M827" t="s">
        <v>613</v>
      </c>
      <c r="N827" t="s">
        <v>3396</v>
      </c>
      <c r="O827" s="155">
        <v>43969</v>
      </c>
    </row>
    <row r="828" spans="1:15" x14ac:dyDescent="0.25">
      <c r="A828" t="s">
        <v>213</v>
      </c>
      <c r="B828" t="s">
        <v>1961</v>
      </c>
      <c r="C828" t="s">
        <v>213</v>
      </c>
      <c r="D828" t="s">
        <v>85</v>
      </c>
      <c r="E828" t="s">
        <v>15</v>
      </c>
      <c r="F828" s="161" t="s">
        <v>3394</v>
      </c>
      <c r="G828" t="s">
        <v>211</v>
      </c>
      <c r="H828" s="1" t="s">
        <v>3393</v>
      </c>
      <c r="I828" t="s">
        <v>1962</v>
      </c>
      <c r="L828" t="s">
        <v>612</v>
      </c>
      <c r="M828" t="s">
        <v>613</v>
      </c>
      <c r="N828" t="s">
        <v>3396</v>
      </c>
      <c r="O828" s="155">
        <v>46083</v>
      </c>
    </row>
    <row r="829" spans="1:15" x14ac:dyDescent="0.25">
      <c r="A829" t="s">
        <v>1997</v>
      </c>
      <c r="B829" t="s">
        <v>1998</v>
      </c>
      <c r="C829" t="s">
        <v>1997</v>
      </c>
      <c r="D829" t="s">
        <v>85</v>
      </c>
      <c r="F829" s="161" t="s">
        <v>3394</v>
      </c>
      <c r="G829" t="s">
        <v>1999</v>
      </c>
      <c r="H829" s="1" t="s">
        <v>3393</v>
      </c>
      <c r="I829" t="s">
        <v>791</v>
      </c>
      <c r="K829" t="s">
        <v>2000</v>
      </c>
      <c r="L829" t="s">
        <v>612</v>
      </c>
      <c r="M829" t="s">
        <v>613</v>
      </c>
      <c r="N829" t="s">
        <v>3396</v>
      </c>
    </row>
    <row r="830" spans="1:15" x14ac:dyDescent="0.25">
      <c r="A830" t="s">
        <v>2001</v>
      </c>
      <c r="B830" t="s">
        <v>2002</v>
      </c>
      <c r="C830" t="s">
        <v>2001</v>
      </c>
      <c r="D830" t="s">
        <v>85</v>
      </c>
      <c r="F830" s="161" t="s">
        <v>3394</v>
      </c>
      <c r="G830" t="s">
        <v>86</v>
      </c>
      <c r="H830" s="1" t="s">
        <v>3393</v>
      </c>
      <c r="I830" t="s">
        <v>2003</v>
      </c>
      <c r="K830" t="s">
        <v>2004</v>
      </c>
      <c r="L830" t="s">
        <v>612</v>
      </c>
      <c r="M830" t="s">
        <v>613</v>
      </c>
      <c r="N830" t="s">
        <v>3396</v>
      </c>
    </row>
    <row r="831" spans="1:15" x14ac:dyDescent="0.25">
      <c r="A831" t="s">
        <v>2009</v>
      </c>
      <c r="B831" t="s">
        <v>2010</v>
      </c>
      <c r="C831" t="s">
        <v>2009</v>
      </c>
      <c r="D831" t="s">
        <v>85</v>
      </c>
      <c r="F831" s="161" t="s">
        <v>3394</v>
      </c>
      <c r="G831" t="s">
        <v>86</v>
      </c>
      <c r="H831" s="1" t="s">
        <v>3393</v>
      </c>
      <c r="I831" t="s">
        <v>2011</v>
      </c>
      <c r="K831" t="s">
        <v>2012</v>
      </c>
      <c r="L831" t="s">
        <v>612</v>
      </c>
      <c r="M831" t="s">
        <v>613</v>
      </c>
      <c r="N831" t="s">
        <v>3396</v>
      </c>
    </row>
    <row r="832" spans="1:15" x14ac:dyDescent="0.25">
      <c r="A832" t="s">
        <v>316</v>
      </c>
      <c r="B832" t="s">
        <v>2018</v>
      </c>
      <c r="C832" t="s">
        <v>316</v>
      </c>
      <c r="D832" t="s">
        <v>85</v>
      </c>
      <c r="E832" t="s">
        <v>15</v>
      </c>
      <c r="F832" s="161" t="s">
        <v>3394</v>
      </c>
      <c r="G832" t="s">
        <v>2019</v>
      </c>
      <c r="H832" s="1" t="s">
        <v>3393</v>
      </c>
      <c r="I832" t="s">
        <v>2020</v>
      </c>
      <c r="K832" t="s">
        <v>2021</v>
      </c>
      <c r="L832" t="s">
        <v>612</v>
      </c>
      <c r="M832" t="s">
        <v>613</v>
      </c>
      <c r="N832" t="s">
        <v>3396</v>
      </c>
      <c r="O832" s="155">
        <v>44391</v>
      </c>
    </row>
    <row r="833" spans="1:15" x14ac:dyDescent="0.25">
      <c r="A833" t="s">
        <v>2049</v>
      </c>
      <c r="B833" t="s">
        <v>2050</v>
      </c>
      <c r="C833" t="s">
        <v>2049</v>
      </c>
      <c r="D833" t="s">
        <v>85</v>
      </c>
      <c r="F833" s="161" t="s">
        <v>3394</v>
      </c>
      <c r="G833" t="s">
        <v>631</v>
      </c>
      <c r="H833" s="1" t="s">
        <v>3393</v>
      </c>
      <c r="I833" t="s">
        <v>2051</v>
      </c>
      <c r="L833" t="s">
        <v>612</v>
      </c>
      <c r="M833" t="s">
        <v>613</v>
      </c>
      <c r="N833" t="s">
        <v>3396</v>
      </c>
    </row>
    <row r="834" spans="1:15" x14ac:dyDescent="0.25">
      <c r="A834" t="s">
        <v>248</v>
      </c>
      <c r="B834" t="s">
        <v>2065</v>
      </c>
      <c r="C834" t="s">
        <v>248</v>
      </c>
      <c r="D834" t="s">
        <v>85</v>
      </c>
      <c r="E834" t="s">
        <v>15</v>
      </c>
      <c r="F834" s="161" t="s">
        <v>3394</v>
      </c>
      <c r="G834" t="s">
        <v>86</v>
      </c>
      <c r="H834" s="1" t="s">
        <v>3393</v>
      </c>
      <c r="I834" t="s">
        <v>1675</v>
      </c>
      <c r="K834" t="s">
        <v>2066</v>
      </c>
      <c r="L834" t="s">
        <v>612</v>
      </c>
      <c r="M834" t="s">
        <v>613</v>
      </c>
      <c r="N834" t="s">
        <v>3396</v>
      </c>
      <c r="O834" s="155">
        <v>44018</v>
      </c>
    </row>
    <row r="835" spans="1:15" x14ac:dyDescent="0.25">
      <c r="A835" t="s">
        <v>2072</v>
      </c>
      <c r="B835" t="s">
        <v>2073</v>
      </c>
      <c r="C835" t="s">
        <v>2072</v>
      </c>
      <c r="D835" t="s">
        <v>85</v>
      </c>
      <c r="F835" s="161" t="s">
        <v>3394</v>
      </c>
      <c r="G835" t="s">
        <v>661</v>
      </c>
      <c r="H835" s="1" t="s">
        <v>3393</v>
      </c>
      <c r="I835" t="s">
        <v>2074</v>
      </c>
      <c r="L835" t="s">
        <v>612</v>
      </c>
      <c r="M835" t="s">
        <v>613</v>
      </c>
      <c r="N835" t="s">
        <v>3396</v>
      </c>
    </row>
    <row r="836" spans="1:15" x14ac:dyDescent="0.25">
      <c r="A836" t="s">
        <v>97</v>
      </c>
      <c r="B836" t="s">
        <v>2075</v>
      </c>
      <c r="C836" t="s">
        <v>97</v>
      </c>
      <c r="D836" t="s">
        <v>85</v>
      </c>
      <c r="E836" t="s">
        <v>15</v>
      </c>
      <c r="F836" s="161" t="s">
        <v>3394</v>
      </c>
      <c r="G836" t="s">
        <v>86</v>
      </c>
      <c r="H836" s="1" t="s">
        <v>3393</v>
      </c>
      <c r="I836" t="s">
        <v>2076</v>
      </c>
      <c r="K836" t="s">
        <v>2077</v>
      </c>
      <c r="L836" t="s">
        <v>612</v>
      </c>
      <c r="M836" t="s">
        <v>613</v>
      </c>
      <c r="N836" t="s">
        <v>3396</v>
      </c>
      <c r="O836" s="155">
        <v>0</v>
      </c>
    </row>
    <row r="837" spans="1:15" x14ac:dyDescent="0.25">
      <c r="A837" t="s">
        <v>2082</v>
      </c>
      <c r="B837" t="s">
        <v>2083</v>
      </c>
      <c r="C837" t="s">
        <v>2082</v>
      </c>
      <c r="D837" t="s">
        <v>85</v>
      </c>
      <c r="F837" s="161" t="s">
        <v>3394</v>
      </c>
      <c r="G837" t="s">
        <v>836</v>
      </c>
      <c r="H837" s="1" t="s">
        <v>3393</v>
      </c>
      <c r="I837" t="s">
        <v>2084</v>
      </c>
      <c r="K837" t="s">
        <v>2085</v>
      </c>
      <c r="L837" t="s">
        <v>612</v>
      </c>
      <c r="M837" t="s">
        <v>613</v>
      </c>
      <c r="N837" t="s">
        <v>3396</v>
      </c>
    </row>
    <row r="838" spans="1:15" x14ac:dyDescent="0.25">
      <c r="A838" t="s">
        <v>2097</v>
      </c>
      <c r="B838" t="s">
        <v>2098</v>
      </c>
      <c r="C838" t="s">
        <v>2097</v>
      </c>
      <c r="D838" t="s">
        <v>85</v>
      </c>
      <c r="F838" s="161" t="s">
        <v>3394</v>
      </c>
      <c r="G838" t="s">
        <v>86</v>
      </c>
      <c r="H838" s="1" t="s">
        <v>3393</v>
      </c>
      <c r="I838" t="s">
        <v>867</v>
      </c>
      <c r="L838" t="s">
        <v>612</v>
      </c>
      <c r="M838" t="s">
        <v>613</v>
      </c>
      <c r="N838" t="s">
        <v>3396</v>
      </c>
    </row>
    <row r="839" spans="1:15" x14ac:dyDescent="0.25">
      <c r="A839" t="s">
        <v>235</v>
      </c>
      <c r="B839" t="s">
        <v>2113</v>
      </c>
      <c r="C839" t="s">
        <v>235</v>
      </c>
      <c r="D839" t="s">
        <v>85</v>
      </c>
      <c r="E839" t="s">
        <v>15</v>
      </c>
      <c r="F839" s="161" t="s">
        <v>3394</v>
      </c>
      <c r="G839" t="s">
        <v>691</v>
      </c>
      <c r="H839" s="1" t="s">
        <v>3393</v>
      </c>
      <c r="I839" t="s">
        <v>1546</v>
      </c>
      <c r="K839" t="s">
        <v>2114</v>
      </c>
      <c r="L839" t="s">
        <v>612</v>
      </c>
      <c r="M839" t="s">
        <v>613</v>
      </c>
      <c r="N839" t="s">
        <v>3396</v>
      </c>
      <c r="O839" s="155">
        <v>45747</v>
      </c>
    </row>
    <row r="840" spans="1:15" x14ac:dyDescent="0.25">
      <c r="A840" t="s">
        <v>241</v>
      </c>
      <c r="B840" t="s">
        <v>2179</v>
      </c>
      <c r="C840" t="s">
        <v>241</v>
      </c>
      <c r="D840" t="s">
        <v>85</v>
      </c>
      <c r="E840" t="s">
        <v>15</v>
      </c>
      <c r="F840" s="161" t="s">
        <v>3394</v>
      </c>
      <c r="G840" t="s">
        <v>86</v>
      </c>
      <c r="H840" s="1" t="s">
        <v>3393</v>
      </c>
      <c r="I840" t="s">
        <v>2180</v>
      </c>
      <c r="K840" t="s">
        <v>2181</v>
      </c>
      <c r="L840" t="s">
        <v>612</v>
      </c>
      <c r="M840" t="s">
        <v>613</v>
      </c>
      <c r="N840" t="s">
        <v>3396</v>
      </c>
      <c r="O840" s="155">
        <v>0</v>
      </c>
    </row>
    <row r="841" spans="1:15" x14ac:dyDescent="0.25">
      <c r="A841" t="s">
        <v>106</v>
      </c>
      <c r="B841" t="s">
        <v>2182</v>
      </c>
      <c r="C841" t="s">
        <v>106</v>
      </c>
      <c r="D841" t="s">
        <v>85</v>
      </c>
      <c r="E841" t="s">
        <v>15</v>
      </c>
      <c r="F841" s="161" t="s">
        <v>3394</v>
      </c>
      <c r="G841" t="s">
        <v>661</v>
      </c>
      <c r="H841" s="1" t="s">
        <v>3393</v>
      </c>
      <c r="I841" t="s">
        <v>2183</v>
      </c>
      <c r="K841" t="s">
        <v>2184</v>
      </c>
      <c r="L841" t="s">
        <v>612</v>
      </c>
      <c r="M841" t="s">
        <v>613</v>
      </c>
      <c r="N841" t="s">
        <v>3396</v>
      </c>
      <c r="O841" s="155">
        <v>45583</v>
      </c>
    </row>
    <row r="842" spans="1:15" x14ac:dyDescent="0.25">
      <c r="A842" t="s">
        <v>2231</v>
      </c>
      <c r="B842" t="s">
        <v>2232</v>
      </c>
      <c r="C842" t="s">
        <v>2231</v>
      </c>
      <c r="D842" t="s">
        <v>85</v>
      </c>
      <c r="F842" s="161" t="s">
        <v>3394</v>
      </c>
      <c r="G842" t="s">
        <v>631</v>
      </c>
      <c r="H842" s="1" t="s">
        <v>3393</v>
      </c>
      <c r="I842" t="s">
        <v>2233</v>
      </c>
      <c r="L842" t="s">
        <v>612</v>
      </c>
      <c r="M842" t="s">
        <v>613</v>
      </c>
      <c r="N842" t="s">
        <v>3396</v>
      </c>
    </row>
    <row r="843" spans="1:15" x14ac:dyDescent="0.25">
      <c r="A843" t="s">
        <v>2239</v>
      </c>
      <c r="B843" t="s">
        <v>2240</v>
      </c>
      <c r="C843" t="s">
        <v>2239</v>
      </c>
      <c r="D843" t="s">
        <v>85</v>
      </c>
      <c r="F843" s="161" t="s">
        <v>3394</v>
      </c>
      <c r="G843" t="s">
        <v>86</v>
      </c>
      <c r="H843" s="1" t="s">
        <v>3393</v>
      </c>
      <c r="I843" t="s">
        <v>1500</v>
      </c>
      <c r="K843" t="s">
        <v>2241</v>
      </c>
      <c r="L843" t="s">
        <v>612</v>
      </c>
      <c r="M843" t="s">
        <v>613</v>
      </c>
      <c r="N843" t="s">
        <v>3396</v>
      </c>
    </row>
    <row r="844" spans="1:15" x14ac:dyDescent="0.25">
      <c r="A844" t="s">
        <v>2250</v>
      </c>
      <c r="B844" t="s">
        <v>2251</v>
      </c>
      <c r="C844" t="s">
        <v>2250</v>
      </c>
      <c r="D844" t="s">
        <v>85</v>
      </c>
      <c r="F844" s="161" t="s">
        <v>3394</v>
      </c>
      <c r="G844" t="s">
        <v>631</v>
      </c>
      <c r="H844" s="1" t="s">
        <v>3393</v>
      </c>
      <c r="I844" t="s">
        <v>1046</v>
      </c>
      <c r="K844" t="s">
        <v>2252</v>
      </c>
      <c r="L844" t="s">
        <v>612</v>
      </c>
      <c r="M844" t="s">
        <v>613</v>
      </c>
      <c r="N844" t="s">
        <v>3396</v>
      </c>
    </row>
    <row r="845" spans="1:15" x14ac:dyDescent="0.25">
      <c r="A845" t="s">
        <v>277</v>
      </c>
      <c r="B845" t="s">
        <v>2264</v>
      </c>
      <c r="C845" t="s">
        <v>277</v>
      </c>
      <c r="D845" t="s">
        <v>85</v>
      </c>
      <c r="E845" t="s">
        <v>19</v>
      </c>
      <c r="F845" s="161" t="s">
        <v>3394</v>
      </c>
      <c r="G845" t="s">
        <v>661</v>
      </c>
      <c r="H845" s="1" t="s">
        <v>3393</v>
      </c>
      <c r="I845" t="s">
        <v>2265</v>
      </c>
      <c r="L845" t="s">
        <v>612</v>
      </c>
      <c r="M845" t="s">
        <v>613</v>
      </c>
      <c r="N845" t="s">
        <v>3396</v>
      </c>
      <c r="O845" s="155">
        <v>45955</v>
      </c>
    </row>
    <row r="846" spans="1:15" x14ac:dyDescent="0.25">
      <c r="A846" t="s">
        <v>304</v>
      </c>
      <c r="B846" t="s">
        <v>2299</v>
      </c>
      <c r="C846" t="s">
        <v>304</v>
      </c>
      <c r="D846" t="s">
        <v>85</v>
      </c>
      <c r="E846" t="s">
        <v>19</v>
      </c>
      <c r="F846" s="161" t="s">
        <v>3394</v>
      </c>
      <c r="G846" t="s">
        <v>86</v>
      </c>
      <c r="H846" s="1" t="s">
        <v>3393</v>
      </c>
      <c r="I846" t="s">
        <v>2300</v>
      </c>
      <c r="L846" t="s">
        <v>612</v>
      </c>
      <c r="M846" t="s">
        <v>613</v>
      </c>
      <c r="N846" t="s">
        <v>3396</v>
      </c>
      <c r="O846" s="155">
        <v>45477</v>
      </c>
    </row>
    <row r="847" spans="1:15" x14ac:dyDescent="0.25">
      <c r="A847" t="s">
        <v>100</v>
      </c>
      <c r="B847" t="s">
        <v>2377</v>
      </c>
      <c r="C847" t="s">
        <v>100</v>
      </c>
      <c r="D847" t="s">
        <v>85</v>
      </c>
      <c r="E847" t="s">
        <v>15</v>
      </c>
      <c r="F847" s="161" t="s">
        <v>3394</v>
      </c>
      <c r="G847" t="s">
        <v>2019</v>
      </c>
      <c r="H847" s="1" t="s">
        <v>3393</v>
      </c>
      <c r="I847" t="s">
        <v>2378</v>
      </c>
      <c r="K847" t="s">
        <v>2379</v>
      </c>
      <c r="L847" t="s">
        <v>612</v>
      </c>
      <c r="M847" t="s">
        <v>613</v>
      </c>
      <c r="N847" t="s">
        <v>3396</v>
      </c>
      <c r="O847" s="155">
        <v>45292</v>
      </c>
    </row>
    <row r="848" spans="1:15" x14ac:dyDescent="0.25">
      <c r="A848" t="s">
        <v>2389</v>
      </c>
      <c r="B848" t="s">
        <v>2390</v>
      </c>
      <c r="C848" t="s">
        <v>2389</v>
      </c>
      <c r="D848" t="s">
        <v>85</v>
      </c>
      <c r="F848" s="161" t="s">
        <v>3394</v>
      </c>
      <c r="G848" t="s">
        <v>631</v>
      </c>
      <c r="H848" s="1" t="s">
        <v>3393</v>
      </c>
      <c r="I848" t="s">
        <v>2391</v>
      </c>
      <c r="K848" t="s">
        <v>2392</v>
      </c>
      <c r="L848" t="s">
        <v>612</v>
      </c>
      <c r="M848" t="s">
        <v>613</v>
      </c>
      <c r="N848" t="s">
        <v>3396</v>
      </c>
    </row>
    <row r="849" spans="1:15" x14ac:dyDescent="0.25">
      <c r="A849" t="s">
        <v>2406</v>
      </c>
      <c r="B849" t="s">
        <v>2407</v>
      </c>
      <c r="C849" t="s">
        <v>2406</v>
      </c>
      <c r="D849" t="s">
        <v>85</v>
      </c>
      <c r="F849" s="161" t="s">
        <v>3394</v>
      </c>
      <c r="G849" t="s">
        <v>1656</v>
      </c>
      <c r="H849" s="1" t="s">
        <v>3393</v>
      </c>
      <c r="I849" t="s">
        <v>1675</v>
      </c>
      <c r="K849" t="s">
        <v>2408</v>
      </c>
      <c r="L849" t="s">
        <v>612</v>
      </c>
      <c r="M849" t="s">
        <v>613</v>
      </c>
      <c r="N849" t="s">
        <v>3396</v>
      </c>
    </row>
    <row r="850" spans="1:15" x14ac:dyDescent="0.25">
      <c r="A850" t="s">
        <v>2431</v>
      </c>
      <c r="B850" t="s">
        <v>2432</v>
      </c>
      <c r="C850" t="s">
        <v>2431</v>
      </c>
      <c r="D850" t="s">
        <v>85</v>
      </c>
      <c r="F850" s="161" t="s">
        <v>3394</v>
      </c>
      <c r="G850" t="s">
        <v>86</v>
      </c>
      <c r="H850" s="1" t="s">
        <v>3393</v>
      </c>
      <c r="I850" t="s">
        <v>2433</v>
      </c>
      <c r="K850" t="s">
        <v>2434</v>
      </c>
      <c r="L850" t="s">
        <v>612</v>
      </c>
      <c r="M850" t="s">
        <v>613</v>
      </c>
      <c r="N850" t="s">
        <v>3396</v>
      </c>
    </row>
    <row r="851" spans="1:15" x14ac:dyDescent="0.25">
      <c r="A851" t="s">
        <v>2445</v>
      </c>
      <c r="B851" t="s">
        <v>2446</v>
      </c>
      <c r="C851" t="s">
        <v>2445</v>
      </c>
      <c r="D851" t="s">
        <v>85</v>
      </c>
      <c r="F851" s="161" t="s">
        <v>3394</v>
      </c>
      <c r="G851" t="s">
        <v>2447</v>
      </c>
      <c r="H851" s="1" t="s">
        <v>3393</v>
      </c>
      <c r="I851" t="s">
        <v>769</v>
      </c>
      <c r="K851" t="s">
        <v>2448</v>
      </c>
      <c r="L851" t="s">
        <v>612</v>
      </c>
      <c r="M851" t="s">
        <v>613</v>
      </c>
      <c r="N851" t="s">
        <v>3396</v>
      </c>
    </row>
    <row r="852" spans="1:15" x14ac:dyDescent="0.25">
      <c r="A852" t="s">
        <v>305</v>
      </c>
      <c r="B852" t="s">
        <v>2473</v>
      </c>
      <c r="C852" t="s">
        <v>305</v>
      </c>
      <c r="D852" t="s">
        <v>85</v>
      </c>
      <c r="E852" t="s">
        <v>19</v>
      </c>
      <c r="F852" s="161" t="s">
        <v>3394</v>
      </c>
      <c r="G852" t="s">
        <v>661</v>
      </c>
      <c r="H852" s="1" t="s">
        <v>3393</v>
      </c>
      <c r="I852" t="s">
        <v>2474</v>
      </c>
      <c r="K852" t="s">
        <v>2475</v>
      </c>
      <c r="L852" t="s">
        <v>612</v>
      </c>
      <c r="M852" t="s">
        <v>613</v>
      </c>
      <c r="N852" t="s">
        <v>3396</v>
      </c>
      <c r="O852" s="155">
        <v>45474</v>
      </c>
    </row>
    <row r="853" spans="1:15" x14ac:dyDescent="0.25">
      <c r="A853" t="s">
        <v>2476</v>
      </c>
      <c r="B853" t="s">
        <v>2477</v>
      </c>
      <c r="C853" t="s">
        <v>2476</v>
      </c>
      <c r="D853" t="s">
        <v>85</v>
      </c>
      <c r="F853" s="161" t="s">
        <v>3394</v>
      </c>
      <c r="G853" t="s">
        <v>86</v>
      </c>
      <c r="H853" s="1" t="s">
        <v>3393</v>
      </c>
      <c r="I853" t="s">
        <v>2159</v>
      </c>
      <c r="K853" t="s">
        <v>2478</v>
      </c>
      <c r="L853" t="s">
        <v>612</v>
      </c>
      <c r="M853" t="s">
        <v>613</v>
      </c>
      <c r="N853" t="s">
        <v>3396</v>
      </c>
    </row>
    <row r="854" spans="1:15" x14ac:dyDescent="0.25">
      <c r="A854" t="s">
        <v>232</v>
      </c>
      <c r="B854" t="s">
        <v>2549</v>
      </c>
      <c r="C854" t="s">
        <v>232</v>
      </c>
      <c r="D854" t="s">
        <v>85</v>
      </c>
      <c r="E854" t="s">
        <v>15</v>
      </c>
      <c r="F854" s="161" t="s">
        <v>3394</v>
      </c>
      <c r="G854" t="s">
        <v>86</v>
      </c>
      <c r="H854" s="1" t="s">
        <v>3393</v>
      </c>
      <c r="I854" t="s">
        <v>2550</v>
      </c>
      <c r="K854" t="s">
        <v>2551</v>
      </c>
      <c r="L854" t="s">
        <v>612</v>
      </c>
      <c r="M854" t="s">
        <v>613</v>
      </c>
      <c r="N854" t="s">
        <v>3396</v>
      </c>
      <c r="O854" s="155">
        <v>44010</v>
      </c>
    </row>
    <row r="855" spans="1:15" x14ac:dyDescent="0.25">
      <c r="A855" t="s">
        <v>321</v>
      </c>
      <c r="B855" t="s">
        <v>2580</v>
      </c>
      <c r="C855" t="s">
        <v>321</v>
      </c>
      <c r="D855" t="s">
        <v>85</v>
      </c>
      <c r="E855" t="s">
        <v>15</v>
      </c>
      <c r="F855" s="161" t="s">
        <v>3394</v>
      </c>
      <c r="G855" t="s">
        <v>856</v>
      </c>
      <c r="H855" s="1" t="s">
        <v>3393</v>
      </c>
      <c r="I855" t="s">
        <v>2581</v>
      </c>
      <c r="L855" t="s">
        <v>612</v>
      </c>
      <c r="M855" t="s">
        <v>613</v>
      </c>
      <c r="N855" t="s">
        <v>3396</v>
      </c>
      <c r="O855" s="155">
        <v>46027</v>
      </c>
    </row>
    <row r="856" spans="1:15" x14ac:dyDescent="0.25">
      <c r="A856" t="s">
        <v>245</v>
      </c>
      <c r="B856" t="s">
        <v>2586</v>
      </c>
      <c r="C856" t="s">
        <v>245</v>
      </c>
      <c r="D856" t="s">
        <v>85</v>
      </c>
      <c r="E856" t="s">
        <v>15</v>
      </c>
      <c r="F856" s="161" t="s">
        <v>3394</v>
      </c>
      <c r="G856" t="s">
        <v>86</v>
      </c>
      <c r="H856" s="1" t="s">
        <v>3393</v>
      </c>
      <c r="I856" t="s">
        <v>2587</v>
      </c>
      <c r="L856" t="s">
        <v>612</v>
      </c>
      <c r="M856" t="s">
        <v>613</v>
      </c>
      <c r="N856" t="s">
        <v>3396</v>
      </c>
      <c r="O856" s="155">
        <v>46139</v>
      </c>
    </row>
    <row r="857" spans="1:15" x14ac:dyDescent="0.25">
      <c r="A857" t="s">
        <v>2626</v>
      </c>
      <c r="B857" t="s">
        <v>2627</v>
      </c>
      <c r="C857" t="s">
        <v>2626</v>
      </c>
      <c r="D857" t="s">
        <v>85</v>
      </c>
      <c r="F857" s="161" t="s">
        <v>3394</v>
      </c>
      <c r="G857" t="s">
        <v>631</v>
      </c>
      <c r="H857" s="1" t="s">
        <v>3393</v>
      </c>
      <c r="I857" t="s">
        <v>2628</v>
      </c>
      <c r="K857" t="s">
        <v>2629</v>
      </c>
      <c r="L857" t="s">
        <v>612</v>
      </c>
      <c r="M857" t="s">
        <v>613</v>
      </c>
      <c r="N857" t="s">
        <v>3396</v>
      </c>
    </row>
    <row r="858" spans="1:15" x14ac:dyDescent="0.25">
      <c r="A858" t="s">
        <v>2633</v>
      </c>
      <c r="B858" t="s">
        <v>2634</v>
      </c>
      <c r="C858" t="s">
        <v>2633</v>
      </c>
      <c r="D858" t="s">
        <v>85</v>
      </c>
      <c r="F858" s="161" t="s">
        <v>3394</v>
      </c>
      <c r="G858" t="s">
        <v>2635</v>
      </c>
      <c r="H858" s="1" t="s">
        <v>3393</v>
      </c>
      <c r="I858" t="s">
        <v>2636</v>
      </c>
      <c r="L858" t="s">
        <v>612</v>
      </c>
      <c r="M858" t="s">
        <v>613</v>
      </c>
      <c r="N858" t="s">
        <v>3396</v>
      </c>
    </row>
    <row r="859" spans="1:15" x14ac:dyDescent="0.25">
      <c r="A859" t="s">
        <v>2720</v>
      </c>
      <c r="B859" t="s">
        <v>2721</v>
      </c>
      <c r="C859" t="s">
        <v>2720</v>
      </c>
      <c r="D859" t="s">
        <v>85</v>
      </c>
      <c r="F859" s="161" t="s">
        <v>3394</v>
      </c>
      <c r="G859" t="s">
        <v>86</v>
      </c>
      <c r="H859" s="1" t="s">
        <v>3393</v>
      </c>
      <c r="I859" t="s">
        <v>1330</v>
      </c>
      <c r="K859" t="s">
        <v>2722</v>
      </c>
      <c r="L859" t="s">
        <v>612</v>
      </c>
      <c r="M859" t="s">
        <v>613</v>
      </c>
      <c r="N859" t="s">
        <v>3396</v>
      </c>
    </row>
    <row r="860" spans="1:15" x14ac:dyDescent="0.25">
      <c r="A860" t="s">
        <v>125</v>
      </c>
      <c r="B860" t="s">
        <v>2733</v>
      </c>
      <c r="C860" t="s">
        <v>125</v>
      </c>
      <c r="D860" t="s">
        <v>85</v>
      </c>
      <c r="E860" t="s">
        <v>15</v>
      </c>
      <c r="F860" s="161" t="s">
        <v>3394</v>
      </c>
      <c r="G860" t="s">
        <v>86</v>
      </c>
      <c r="H860" s="1" t="s">
        <v>3393</v>
      </c>
      <c r="I860" t="s">
        <v>1580</v>
      </c>
      <c r="K860" t="s">
        <v>2734</v>
      </c>
      <c r="L860" t="s">
        <v>612</v>
      </c>
      <c r="M860" t="s">
        <v>613</v>
      </c>
      <c r="N860" t="s">
        <v>3396</v>
      </c>
      <c r="O860" s="155">
        <v>45292</v>
      </c>
    </row>
    <row r="861" spans="1:15" x14ac:dyDescent="0.25">
      <c r="A861" t="s">
        <v>2739</v>
      </c>
      <c r="B861" t="s">
        <v>2740</v>
      </c>
      <c r="C861" t="s">
        <v>2739</v>
      </c>
      <c r="D861" t="s">
        <v>85</v>
      </c>
      <c r="F861" s="161" t="s">
        <v>3394</v>
      </c>
      <c r="G861" t="s">
        <v>856</v>
      </c>
      <c r="H861" s="1" t="s">
        <v>3393</v>
      </c>
      <c r="I861" t="s">
        <v>867</v>
      </c>
      <c r="L861" t="s">
        <v>612</v>
      </c>
      <c r="M861" t="s">
        <v>613</v>
      </c>
      <c r="N861" t="s">
        <v>3396</v>
      </c>
    </row>
    <row r="862" spans="1:15" x14ac:dyDescent="0.25">
      <c r="A862" t="s">
        <v>296</v>
      </c>
      <c r="B862" t="s">
        <v>2741</v>
      </c>
      <c r="C862" t="s">
        <v>296</v>
      </c>
      <c r="D862" t="s">
        <v>85</v>
      </c>
      <c r="E862" t="s">
        <v>15</v>
      </c>
      <c r="F862" s="161" t="s">
        <v>3394</v>
      </c>
      <c r="G862" t="s">
        <v>691</v>
      </c>
      <c r="H862" s="1" t="s">
        <v>3393</v>
      </c>
      <c r="I862" t="s">
        <v>2742</v>
      </c>
      <c r="K862" t="s">
        <v>2743</v>
      </c>
      <c r="L862" t="s">
        <v>612</v>
      </c>
      <c r="M862" t="s">
        <v>613</v>
      </c>
      <c r="N862" t="s">
        <v>3396</v>
      </c>
      <c r="O862" s="155">
        <v>44739</v>
      </c>
    </row>
    <row r="863" spans="1:15" x14ac:dyDescent="0.25">
      <c r="A863" t="s">
        <v>238</v>
      </c>
      <c r="B863" t="s">
        <v>2756</v>
      </c>
      <c r="C863" t="s">
        <v>238</v>
      </c>
      <c r="D863" t="s">
        <v>85</v>
      </c>
      <c r="E863" t="s">
        <v>15</v>
      </c>
      <c r="F863" s="161" t="s">
        <v>3394</v>
      </c>
      <c r="G863" t="s">
        <v>86</v>
      </c>
      <c r="H863" s="1" t="s">
        <v>3393</v>
      </c>
      <c r="I863" t="s">
        <v>2757</v>
      </c>
      <c r="K863" t="s">
        <v>2758</v>
      </c>
      <c r="L863" t="s">
        <v>612</v>
      </c>
      <c r="M863" t="s">
        <v>613</v>
      </c>
      <c r="N863" t="s">
        <v>3396</v>
      </c>
      <c r="O863" s="155">
        <v>44515</v>
      </c>
    </row>
    <row r="864" spans="1:15" x14ac:dyDescent="0.25">
      <c r="A864" t="s">
        <v>2761</v>
      </c>
      <c r="B864" t="s">
        <v>2762</v>
      </c>
      <c r="C864" t="s">
        <v>2761</v>
      </c>
      <c r="D864" t="s">
        <v>85</v>
      </c>
      <c r="F864" s="161" t="s">
        <v>3394</v>
      </c>
      <c r="G864" t="s">
        <v>2763</v>
      </c>
      <c r="H864" s="1" t="s">
        <v>3393</v>
      </c>
      <c r="I864" t="s">
        <v>791</v>
      </c>
      <c r="K864" t="s">
        <v>2764</v>
      </c>
      <c r="L864" t="s">
        <v>612</v>
      </c>
      <c r="M864" t="s">
        <v>613</v>
      </c>
      <c r="N864" t="s">
        <v>3396</v>
      </c>
    </row>
    <row r="865" spans="1:15" x14ac:dyDescent="0.25">
      <c r="A865" t="s">
        <v>220</v>
      </c>
      <c r="B865" t="s">
        <v>2807</v>
      </c>
      <c r="C865" t="s">
        <v>220</v>
      </c>
      <c r="D865" t="s">
        <v>85</v>
      </c>
      <c r="E865" t="s">
        <v>15</v>
      </c>
      <c r="F865" s="161" t="s">
        <v>3394</v>
      </c>
      <c r="G865" t="s">
        <v>86</v>
      </c>
      <c r="H865" s="1" t="s">
        <v>3393</v>
      </c>
      <c r="I865" t="s">
        <v>1424</v>
      </c>
      <c r="K865" t="s">
        <v>2808</v>
      </c>
      <c r="L865" t="s">
        <v>612</v>
      </c>
      <c r="M865" t="s">
        <v>613</v>
      </c>
      <c r="N865" t="s">
        <v>3396</v>
      </c>
      <c r="O865" s="155" t="s">
        <v>221</v>
      </c>
    </row>
    <row r="866" spans="1:15" x14ac:dyDescent="0.25">
      <c r="A866" t="s">
        <v>2987</v>
      </c>
      <c r="B866" t="s">
        <v>2988</v>
      </c>
      <c r="C866" t="s">
        <v>2987</v>
      </c>
      <c r="D866" t="s">
        <v>85</v>
      </c>
      <c r="F866" s="161" t="s">
        <v>3394</v>
      </c>
      <c r="G866" t="s">
        <v>211</v>
      </c>
      <c r="H866" s="1" t="s">
        <v>3393</v>
      </c>
      <c r="I866" t="s">
        <v>1020</v>
      </c>
      <c r="L866" t="s">
        <v>612</v>
      </c>
      <c r="M866" t="s">
        <v>613</v>
      </c>
      <c r="N866" t="s">
        <v>3396</v>
      </c>
    </row>
    <row r="867" spans="1:15" x14ac:dyDescent="0.25">
      <c r="A867" t="s">
        <v>264</v>
      </c>
      <c r="B867" t="s">
        <v>2991</v>
      </c>
      <c r="C867" t="s">
        <v>264</v>
      </c>
      <c r="D867" t="s">
        <v>85</v>
      </c>
      <c r="E867" t="s">
        <v>19</v>
      </c>
      <c r="F867" s="161" t="s">
        <v>3394</v>
      </c>
      <c r="G867" t="s">
        <v>86</v>
      </c>
      <c r="H867" s="1" t="s">
        <v>3393</v>
      </c>
      <c r="I867" t="s">
        <v>2084</v>
      </c>
      <c r="K867" t="s">
        <v>2992</v>
      </c>
      <c r="L867" t="s">
        <v>612</v>
      </c>
      <c r="M867" t="s">
        <v>613</v>
      </c>
      <c r="N867" t="s">
        <v>3396</v>
      </c>
      <c r="O867" s="155">
        <v>42430</v>
      </c>
    </row>
    <row r="868" spans="1:15" x14ac:dyDescent="0.25">
      <c r="A868" t="s">
        <v>2996</v>
      </c>
      <c r="B868" t="s">
        <v>2997</v>
      </c>
      <c r="C868" t="s">
        <v>2996</v>
      </c>
      <c r="D868" t="s">
        <v>85</v>
      </c>
      <c r="F868" s="161" t="s">
        <v>3394</v>
      </c>
      <c r="G868" t="s">
        <v>856</v>
      </c>
      <c r="H868" s="1" t="s">
        <v>3393</v>
      </c>
      <c r="I868" t="s">
        <v>2998</v>
      </c>
      <c r="K868" t="s">
        <v>2999</v>
      </c>
      <c r="L868" t="s">
        <v>612</v>
      </c>
      <c r="M868" t="s">
        <v>613</v>
      </c>
      <c r="N868" t="s">
        <v>3396</v>
      </c>
    </row>
    <row r="869" spans="1:15" x14ac:dyDescent="0.25">
      <c r="A869" t="s">
        <v>3033</v>
      </c>
      <c r="B869" t="s">
        <v>3034</v>
      </c>
      <c r="C869" t="s">
        <v>3033</v>
      </c>
      <c r="D869" t="s">
        <v>85</v>
      </c>
      <c r="F869" s="161" t="s">
        <v>3394</v>
      </c>
      <c r="G869" t="s">
        <v>86</v>
      </c>
      <c r="H869" s="1" t="s">
        <v>3393</v>
      </c>
      <c r="I869" t="s">
        <v>3035</v>
      </c>
      <c r="K869" t="s">
        <v>3036</v>
      </c>
      <c r="L869" t="s">
        <v>612</v>
      </c>
      <c r="M869" t="s">
        <v>613</v>
      </c>
      <c r="N869" t="s">
        <v>3396</v>
      </c>
    </row>
    <row r="870" spans="1:15" x14ac:dyDescent="0.25">
      <c r="A870" t="s">
        <v>276</v>
      </c>
      <c r="B870" t="s">
        <v>3050</v>
      </c>
      <c r="C870" t="s">
        <v>276</v>
      </c>
      <c r="D870" t="s">
        <v>85</v>
      </c>
      <c r="E870" t="s">
        <v>19</v>
      </c>
      <c r="F870" s="161" t="s">
        <v>3394</v>
      </c>
      <c r="G870" t="s">
        <v>86</v>
      </c>
      <c r="H870" s="1" t="s">
        <v>3393</v>
      </c>
      <c r="I870" t="s">
        <v>2360</v>
      </c>
      <c r="L870" t="s">
        <v>612</v>
      </c>
      <c r="M870" t="s">
        <v>613</v>
      </c>
      <c r="N870" t="s">
        <v>3396</v>
      </c>
      <c r="O870" s="155">
        <v>46132</v>
      </c>
    </row>
    <row r="871" spans="1:15" x14ac:dyDescent="0.25">
      <c r="A871" t="s">
        <v>274</v>
      </c>
      <c r="B871" t="s">
        <v>3063</v>
      </c>
      <c r="C871" t="s">
        <v>274</v>
      </c>
      <c r="D871" t="s">
        <v>85</v>
      </c>
      <c r="E871" t="s">
        <v>19</v>
      </c>
      <c r="F871" s="161" t="s">
        <v>3394</v>
      </c>
      <c r="G871" t="s">
        <v>86</v>
      </c>
      <c r="H871" s="1" t="s">
        <v>3393</v>
      </c>
      <c r="I871" t="s">
        <v>3064</v>
      </c>
      <c r="K871" t="s">
        <v>3065</v>
      </c>
      <c r="L871" t="s">
        <v>612</v>
      </c>
      <c r="M871" t="s">
        <v>613</v>
      </c>
      <c r="N871" t="s">
        <v>3396</v>
      </c>
      <c r="O871" s="155">
        <v>44019</v>
      </c>
    </row>
    <row r="872" spans="1:15" x14ac:dyDescent="0.25">
      <c r="A872" t="s">
        <v>311</v>
      </c>
      <c r="B872" t="s">
        <v>3066</v>
      </c>
      <c r="C872" t="s">
        <v>311</v>
      </c>
      <c r="D872" t="s">
        <v>85</v>
      </c>
      <c r="E872" t="s">
        <v>15</v>
      </c>
      <c r="F872" s="161" t="s">
        <v>3394</v>
      </c>
      <c r="G872" t="s">
        <v>86</v>
      </c>
      <c r="H872" s="1" t="s">
        <v>3393</v>
      </c>
      <c r="I872" t="s">
        <v>1113</v>
      </c>
      <c r="L872" t="s">
        <v>612</v>
      </c>
      <c r="M872" t="s">
        <v>613</v>
      </c>
      <c r="N872" t="s">
        <v>3396</v>
      </c>
      <c r="O872" s="155">
        <v>45474</v>
      </c>
    </row>
    <row r="873" spans="1:15" x14ac:dyDescent="0.25">
      <c r="A873" t="s">
        <v>251</v>
      </c>
      <c r="B873" t="s">
        <v>3094</v>
      </c>
      <c r="C873" t="s">
        <v>251</v>
      </c>
      <c r="D873" t="s">
        <v>85</v>
      </c>
      <c r="E873" t="s">
        <v>15</v>
      </c>
      <c r="F873" s="161" t="s">
        <v>3394</v>
      </c>
      <c r="G873" t="s">
        <v>86</v>
      </c>
      <c r="H873" s="1" t="s">
        <v>3393</v>
      </c>
      <c r="I873" t="s">
        <v>3095</v>
      </c>
      <c r="K873" t="s">
        <v>3096</v>
      </c>
      <c r="L873" t="s">
        <v>612</v>
      </c>
      <c r="M873" t="s">
        <v>613</v>
      </c>
      <c r="N873" t="s">
        <v>3396</v>
      </c>
      <c r="O873" s="155">
        <v>45904</v>
      </c>
    </row>
    <row r="874" spans="1:15" x14ac:dyDescent="0.25">
      <c r="A874" t="s">
        <v>281</v>
      </c>
      <c r="B874" t="s">
        <v>3097</v>
      </c>
      <c r="C874" t="s">
        <v>281</v>
      </c>
      <c r="D874" t="s">
        <v>85</v>
      </c>
      <c r="E874" t="s">
        <v>19</v>
      </c>
      <c r="F874" s="161" t="s">
        <v>3394</v>
      </c>
      <c r="G874" t="s">
        <v>836</v>
      </c>
      <c r="H874" s="1" t="s">
        <v>3393</v>
      </c>
      <c r="I874" t="s">
        <v>3098</v>
      </c>
      <c r="K874" t="s">
        <v>3099</v>
      </c>
      <c r="L874" t="s">
        <v>612</v>
      </c>
      <c r="M874" t="s">
        <v>613</v>
      </c>
      <c r="N874" t="s">
        <v>3396</v>
      </c>
      <c r="O874" s="155">
        <v>44025</v>
      </c>
    </row>
    <row r="875" spans="1:15" x14ac:dyDescent="0.25">
      <c r="A875" t="s">
        <v>26</v>
      </c>
      <c r="B875" t="s">
        <v>3152</v>
      </c>
      <c r="C875" t="s">
        <v>26</v>
      </c>
      <c r="D875" t="s">
        <v>85</v>
      </c>
      <c r="E875" t="s">
        <v>19</v>
      </c>
      <c r="F875" s="161" t="s">
        <v>3394</v>
      </c>
      <c r="G875" t="s">
        <v>661</v>
      </c>
      <c r="H875" s="1" t="s">
        <v>3393</v>
      </c>
      <c r="I875" t="s">
        <v>3153</v>
      </c>
      <c r="K875" t="s">
        <v>3154</v>
      </c>
      <c r="L875" t="s">
        <v>612</v>
      </c>
      <c r="M875" t="s">
        <v>613</v>
      </c>
      <c r="N875" t="s">
        <v>3396</v>
      </c>
      <c r="O875" s="155">
        <v>45615</v>
      </c>
    </row>
    <row r="876" spans="1:15" x14ac:dyDescent="0.25">
      <c r="A876" t="s">
        <v>105</v>
      </c>
      <c r="B876" t="s">
        <v>3161</v>
      </c>
      <c r="C876" t="s">
        <v>105</v>
      </c>
      <c r="D876" t="s">
        <v>85</v>
      </c>
      <c r="E876" t="s">
        <v>15</v>
      </c>
      <c r="F876" s="161" t="s">
        <v>3394</v>
      </c>
      <c r="G876" t="s">
        <v>86</v>
      </c>
      <c r="H876" s="1" t="s">
        <v>3393</v>
      </c>
      <c r="I876" t="s">
        <v>3162</v>
      </c>
      <c r="K876" t="s">
        <v>3163</v>
      </c>
      <c r="L876" t="s">
        <v>612</v>
      </c>
      <c r="M876" t="s">
        <v>613</v>
      </c>
      <c r="N876" t="s">
        <v>3396</v>
      </c>
      <c r="O876" s="155">
        <v>45292</v>
      </c>
    </row>
    <row r="877" spans="1:15" x14ac:dyDescent="0.25">
      <c r="A877" t="s">
        <v>3183</v>
      </c>
      <c r="B877" t="s">
        <v>3184</v>
      </c>
      <c r="C877" t="s">
        <v>3183</v>
      </c>
      <c r="D877" t="s">
        <v>85</v>
      </c>
      <c r="F877" s="161" t="s">
        <v>3394</v>
      </c>
      <c r="G877" t="s">
        <v>86</v>
      </c>
      <c r="H877" s="1" t="s">
        <v>3393</v>
      </c>
      <c r="I877" t="s">
        <v>3185</v>
      </c>
      <c r="K877" t="s">
        <v>3186</v>
      </c>
      <c r="L877" t="s">
        <v>612</v>
      </c>
      <c r="M877" t="s">
        <v>613</v>
      </c>
      <c r="N877" t="s">
        <v>3396</v>
      </c>
    </row>
    <row r="878" spans="1:15" x14ac:dyDescent="0.25">
      <c r="A878" t="s">
        <v>3236</v>
      </c>
      <c r="B878" t="s">
        <v>3237</v>
      </c>
      <c r="C878" t="s">
        <v>3236</v>
      </c>
      <c r="D878" t="s">
        <v>85</v>
      </c>
      <c r="F878" s="161" t="s">
        <v>3394</v>
      </c>
      <c r="G878" t="s">
        <v>86</v>
      </c>
      <c r="H878" s="1" t="s">
        <v>3393</v>
      </c>
      <c r="I878" t="s">
        <v>3238</v>
      </c>
      <c r="K878" t="s">
        <v>3239</v>
      </c>
      <c r="L878" t="s">
        <v>612</v>
      </c>
      <c r="M878" t="s">
        <v>613</v>
      </c>
      <c r="N878" t="s">
        <v>3396</v>
      </c>
    </row>
    <row r="879" spans="1:15" x14ac:dyDescent="0.25">
      <c r="A879" t="s">
        <v>253</v>
      </c>
      <c r="B879" t="s">
        <v>3245</v>
      </c>
      <c r="C879" t="s">
        <v>253</v>
      </c>
      <c r="D879" t="s">
        <v>85</v>
      </c>
      <c r="E879" t="s">
        <v>15</v>
      </c>
      <c r="F879" s="161" t="s">
        <v>3394</v>
      </c>
      <c r="G879" t="s">
        <v>86</v>
      </c>
      <c r="H879" s="1" t="s">
        <v>3393</v>
      </c>
      <c r="I879" t="s">
        <v>977</v>
      </c>
      <c r="L879" t="s">
        <v>612</v>
      </c>
      <c r="M879" t="s">
        <v>613</v>
      </c>
      <c r="N879" t="s">
        <v>3396</v>
      </c>
      <c r="O879" s="155">
        <v>46112</v>
      </c>
    </row>
    <row r="880" spans="1:15" x14ac:dyDescent="0.25">
      <c r="A880" t="s">
        <v>3248</v>
      </c>
      <c r="B880" t="s">
        <v>3249</v>
      </c>
      <c r="C880" t="s">
        <v>3248</v>
      </c>
      <c r="D880" t="s">
        <v>85</v>
      </c>
      <c r="F880" s="161" t="s">
        <v>3394</v>
      </c>
      <c r="G880" t="s">
        <v>86</v>
      </c>
      <c r="H880" s="1" t="s">
        <v>3393</v>
      </c>
      <c r="I880" t="s">
        <v>2599</v>
      </c>
      <c r="K880" t="s">
        <v>3250</v>
      </c>
      <c r="L880" t="s">
        <v>612</v>
      </c>
      <c r="M880" t="s">
        <v>613</v>
      </c>
      <c r="N880" t="s">
        <v>3396</v>
      </c>
    </row>
    <row r="881" spans="1:15" x14ac:dyDescent="0.25">
      <c r="A881" t="s">
        <v>3311</v>
      </c>
      <c r="B881" t="s">
        <v>3312</v>
      </c>
      <c r="C881" t="s">
        <v>3311</v>
      </c>
      <c r="D881" t="s">
        <v>85</v>
      </c>
      <c r="F881" s="161" t="s">
        <v>3394</v>
      </c>
      <c r="G881" t="s">
        <v>2635</v>
      </c>
      <c r="H881" s="1" t="s">
        <v>3393</v>
      </c>
      <c r="I881" t="s">
        <v>3313</v>
      </c>
      <c r="K881" t="s">
        <v>3314</v>
      </c>
      <c r="L881" t="s">
        <v>612</v>
      </c>
      <c r="M881" t="s">
        <v>613</v>
      </c>
      <c r="N881" t="s">
        <v>3396</v>
      </c>
    </row>
    <row r="882" spans="1:15" x14ac:dyDescent="0.25">
      <c r="A882" t="s">
        <v>230</v>
      </c>
      <c r="B882" t="s">
        <v>3343</v>
      </c>
      <c r="C882" t="s">
        <v>230</v>
      </c>
      <c r="D882" t="s">
        <v>85</v>
      </c>
      <c r="E882" t="s">
        <v>15</v>
      </c>
      <c r="F882" s="161" t="s">
        <v>3394</v>
      </c>
      <c r="G882" t="s">
        <v>836</v>
      </c>
      <c r="H882" s="1" t="s">
        <v>3393</v>
      </c>
      <c r="I882" t="s">
        <v>3344</v>
      </c>
      <c r="K882" t="s">
        <v>3345</v>
      </c>
      <c r="L882" t="s">
        <v>612</v>
      </c>
      <c r="M882" t="s">
        <v>613</v>
      </c>
      <c r="N882" t="s">
        <v>3396</v>
      </c>
      <c r="O882" s="155">
        <v>43990</v>
      </c>
    </row>
    <row r="883" spans="1:15" x14ac:dyDescent="0.25">
      <c r="A883" t="s">
        <v>3346</v>
      </c>
      <c r="B883" t="s">
        <v>3347</v>
      </c>
      <c r="C883" t="s">
        <v>3346</v>
      </c>
      <c r="D883" t="s">
        <v>85</v>
      </c>
      <c r="F883" s="161" t="s">
        <v>3394</v>
      </c>
      <c r="G883" t="s">
        <v>86</v>
      </c>
      <c r="H883" s="1" t="s">
        <v>3393</v>
      </c>
      <c r="I883" t="s">
        <v>3348</v>
      </c>
      <c r="K883" t="s">
        <v>3349</v>
      </c>
      <c r="L883" t="s">
        <v>612</v>
      </c>
      <c r="M883" t="s">
        <v>613</v>
      </c>
      <c r="N883" t="s">
        <v>3396</v>
      </c>
    </row>
    <row r="884" spans="1:15" x14ac:dyDescent="0.25">
      <c r="A884" t="s">
        <v>357</v>
      </c>
      <c r="B884" t="s">
        <v>3369</v>
      </c>
      <c r="C884" t="s">
        <v>357</v>
      </c>
      <c r="D884" t="s">
        <v>85</v>
      </c>
      <c r="E884" t="s">
        <v>15</v>
      </c>
      <c r="F884" s="161" t="s">
        <v>3394</v>
      </c>
      <c r="G884" t="s">
        <v>691</v>
      </c>
      <c r="H884" s="1" t="s">
        <v>3393</v>
      </c>
      <c r="I884" t="s">
        <v>3370</v>
      </c>
      <c r="L884" t="s">
        <v>612</v>
      </c>
      <c r="M884" t="s">
        <v>613</v>
      </c>
      <c r="N884" t="s">
        <v>3396</v>
      </c>
      <c r="O884" s="155">
        <v>45961</v>
      </c>
    </row>
    <row r="885" spans="1:15" x14ac:dyDescent="0.25">
      <c r="A885" t="s">
        <v>247</v>
      </c>
      <c r="B885" t="s">
        <v>3371</v>
      </c>
      <c r="C885" t="s">
        <v>247</v>
      </c>
      <c r="D885" t="s">
        <v>85</v>
      </c>
      <c r="E885" t="s">
        <v>15</v>
      </c>
      <c r="F885" s="161" t="s">
        <v>3394</v>
      </c>
      <c r="G885" t="s">
        <v>86</v>
      </c>
      <c r="H885" s="1" t="s">
        <v>3393</v>
      </c>
      <c r="I885" t="s">
        <v>2550</v>
      </c>
      <c r="K885" t="s">
        <v>3372</v>
      </c>
      <c r="L885" t="s">
        <v>612</v>
      </c>
      <c r="M885" t="s">
        <v>613</v>
      </c>
      <c r="N885" t="s">
        <v>3396</v>
      </c>
      <c r="O885" s="155">
        <v>44010</v>
      </c>
    </row>
    <row r="886" spans="1:15" x14ac:dyDescent="0.25">
      <c r="A886" t="s">
        <v>244</v>
      </c>
      <c r="B886" t="s">
        <v>3373</v>
      </c>
      <c r="C886" t="s">
        <v>244</v>
      </c>
      <c r="D886" t="s">
        <v>85</v>
      </c>
      <c r="E886" t="s">
        <v>15</v>
      </c>
      <c r="F886" s="161" t="s">
        <v>3394</v>
      </c>
      <c r="G886" t="s">
        <v>86</v>
      </c>
      <c r="H886" s="1" t="s">
        <v>3393</v>
      </c>
      <c r="I886" t="s">
        <v>3374</v>
      </c>
      <c r="K886" t="s">
        <v>3375</v>
      </c>
      <c r="L886" t="s">
        <v>612</v>
      </c>
      <c r="M886" t="s">
        <v>613</v>
      </c>
      <c r="N886" t="s">
        <v>3396</v>
      </c>
      <c r="O886" s="155">
        <v>44348</v>
      </c>
    </row>
    <row r="887" spans="1:15" x14ac:dyDescent="0.25">
      <c r="A887" t="s">
        <v>3376</v>
      </c>
      <c r="B887" t="s">
        <v>3377</v>
      </c>
      <c r="C887" t="s">
        <v>3376</v>
      </c>
      <c r="D887" t="s">
        <v>85</v>
      </c>
      <c r="F887" s="161" t="s">
        <v>3394</v>
      </c>
      <c r="G887" t="s">
        <v>211</v>
      </c>
      <c r="H887" s="1" t="s">
        <v>3393</v>
      </c>
      <c r="I887" t="s">
        <v>3317</v>
      </c>
      <c r="K887" t="s">
        <v>3378</v>
      </c>
      <c r="L887" t="s">
        <v>612</v>
      </c>
      <c r="M887" t="s">
        <v>613</v>
      </c>
      <c r="N887" t="s">
        <v>3396</v>
      </c>
    </row>
    <row r="888" spans="1:15" x14ac:dyDescent="0.25">
      <c r="A888" t="s">
        <v>229</v>
      </c>
      <c r="B888" t="s">
        <v>3379</v>
      </c>
      <c r="C888" t="s">
        <v>229</v>
      </c>
      <c r="D888" t="s">
        <v>85</v>
      </c>
      <c r="E888" t="s">
        <v>15</v>
      </c>
      <c r="F888" s="161" t="s">
        <v>3394</v>
      </c>
      <c r="G888" t="s">
        <v>86</v>
      </c>
      <c r="H888" s="1" t="s">
        <v>3393</v>
      </c>
      <c r="I888" t="s">
        <v>3380</v>
      </c>
      <c r="K888" t="s">
        <v>3381</v>
      </c>
      <c r="L888" t="s">
        <v>612</v>
      </c>
      <c r="M888" t="s">
        <v>613</v>
      </c>
      <c r="N888" t="s">
        <v>3396</v>
      </c>
      <c r="O888" s="155">
        <v>43300</v>
      </c>
    </row>
    <row r="889" spans="1:15" x14ac:dyDescent="0.25">
      <c r="A889" t="s">
        <v>261</v>
      </c>
      <c r="B889" t="s">
        <v>3384</v>
      </c>
      <c r="C889" t="s">
        <v>261</v>
      </c>
      <c r="D889" t="s">
        <v>85</v>
      </c>
      <c r="E889" t="s">
        <v>19</v>
      </c>
      <c r="F889" s="161" t="s">
        <v>3394</v>
      </c>
      <c r="G889" t="s">
        <v>836</v>
      </c>
      <c r="H889" s="1" t="s">
        <v>3393</v>
      </c>
      <c r="I889" t="s">
        <v>1972</v>
      </c>
      <c r="K889" t="s">
        <v>3385</v>
      </c>
      <c r="L889" t="s">
        <v>612</v>
      </c>
      <c r="M889" t="s">
        <v>613</v>
      </c>
      <c r="N889" t="s">
        <v>3396</v>
      </c>
      <c r="O889" s="155">
        <v>45837</v>
      </c>
    </row>
    <row r="890" spans="1:15" x14ac:dyDescent="0.25">
      <c r="A890" s="113" t="s">
        <v>539</v>
      </c>
      <c r="B890" s="161" t="s">
        <v>3403</v>
      </c>
      <c r="C890" s="113" t="s">
        <v>539</v>
      </c>
      <c r="D890" s="154" t="s">
        <v>3421</v>
      </c>
      <c r="F890" s="161" t="s">
        <v>3394</v>
      </c>
      <c r="H890" s="161" t="s">
        <v>3394</v>
      </c>
    </row>
    <row r="891" spans="1:15" x14ac:dyDescent="0.25">
      <c r="A891" s="176" t="s">
        <v>549</v>
      </c>
      <c r="B891" s="161" t="s">
        <v>3404</v>
      </c>
      <c r="C891" s="176" t="s">
        <v>549</v>
      </c>
      <c r="D891" s="154" t="s">
        <v>3421</v>
      </c>
      <c r="F891" s="161" t="s">
        <v>3394</v>
      </c>
      <c r="H891" s="161" t="s">
        <v>3394</v>
      </c>
    </row>
    <row r="892" spans="1:15" x14ac:dyDescent="0.25">
      <c r="A892" s="112" t="s">
        <v>561</v>
      </c>
      <c r="B892" s="161" t="s">
        <v>3405</v>
      </c>
      <c r="C892" s="112" t="s">
        <v>561</v>
      </c>
      <c r="D892" s="154" t="s">
        <v>3421</v>
      </c>
      <c r="F892" s="161" t="s">
        <v>3394</v>
      </c>
      <c r="H892" s="161" t="s">
        <v>3394</v>
      </c>
    </row>
    <row r="893" spans="1:15" x14ac:dyDescent="0.25">
      <c r="A893" s="48" t="s">
        <v>568</v>
      </c>
      <c r="B893" s="161" t="s">
        <v>3406</v>
      </c>
      <c r="C893" s="48" t="s">
        <v>568</v>
      </c>
      <c r="D893" s="154" t="s">
        <v>3421</v>
      </c>
      <c r="F893" s="161" t="s">
        <v>3394</v>
      </c>
      <c r="H893" s="161" t="s">
        <v>3394</v>
      </c>
    </row>
    <row r="894" spans="1:15" x14ac:dyDescent="0.25">
      <c r="A894" s="113" t="s">
        <v>458</v>
      </c>
      <c r="B894" s="161" t="s">
        <v>3407</v>
      </c>
      <c r="C894" s="113" t="s">
        <v>458</v>
      </c>
      <c r="D894" s="154" t="s">
        <v>3421</v>
      </c>
      <c r="F894" s="161" t="s">
        <v>3394</v>
      </c>
      <c r="H894" s="161" t="s">
        <v>3394</v>
      </c>
    </row>
    <row r="895" spans="1:15" ht="15.6" x14ac:dyDescent="0.25">
      <c r="A895" s="220" t="s">
        <v>214</v>
      </c>
      <c r="B895" s="161" t="s">
        <v>3408</v>
      </c>
      <c r="C895" s="220" t="s">
        <v>214</v>
      </c>
      <c r="D895" s="154" t="s">
        <v>3421</v>
      </c>
      <c r="F895" s="161" t="s">
        <v>3394</v>
      </c>
      <c r="H895" s="161" t="s">
        <v>3394</v>
      </c>
    </row>
    <row r="896" spans="1:15" x14ac:dyDescent="0.25">
      <c r="A896" s="57" t="s">
        <v>157</v>
      </c>
      <c r="B896" s="161" t="s">
        <v>3409</v>
      </c>
      <c r="C896" s="57" t="s">
        <v>157</v>
      </c>
      <c r="D896" s="154" t="s">
        <v>3421</v>
      </c>
      <c r="F896" s="161" t="s">
        <v>3394</v>
      </c>
      <c r="H896" s="161" t="s">
        <v>3394</v>
      </c>
    </row>
    <row r="897" spans="1:8" x14ac:dyDescent="0.25">
      <c r="A897" s="23" t="s">
        <v>564</v>
      </c>
      <c r="B897" s="161" t="s">
        <v>3410</v>
      </c>
      <c r="C897" s="23" t="s">
        <v>564</v>
      </c>
      <c r="D897" s="154" t="s">
        <v>3421</v>
      </c>
      <c r="F897" s="161" t="s">
        <v>3394</v>
      </c>
      <c r="H897" s="161" t="s">
        <v>3394</v>
      </c>
    </row>
    <row r="898" spans="1:8" x14ac:dyDescent="0.25">
      <c r="A898" s="165" t="s">
        <v>416</v>
      </c>
      <c r="B898" s="161" t="s">
        <v>3411</v>
      </c>
      <c r="C898" s="165" t="s">
        <v>416</v>
      </c>
      <c r="D898" s="154" t="s">
        <v>3421</v>
      </c>
      <c r="F898" s="161" t="s">
        <v>3394</v>
      </c>
      <c r="H898" s="161" t="s">
        <v>3394</v>
      </c>
    </row>
    <row r="899" spans="1:8" x14ac:dyDescent="0.25">
      <c r="A899" s="30" t="s">
        <v>87</v>
      </c>
      <c r="B899" s="161" t="s">
        <v>3412</v>
      </c>
      <c r="C899" s="30" t="s">
        <v>87</v>
      </c>
      <c r="D899" s="154" t="s">
        <v>3421</v>
      </c>
      <c r="F899" s="161" t="s">
        <v>3394</v>
      </c>
      <c r="H899" s="161" t="s">
        <v>3394</v>
      </c>
    </row>
    <row r="900" spans="1:8" x14ac:dyDescent="0.25">
      <c r="A900" s="113" t="s">
        <v>410</v>
      </c>
      <c r="B900" s="161" t="s">
        <v>3413</v>
      </c>
      <c r="C900" s="113" t="s">
        <v>410</v>
      </c>
      <c r="D900" s="154" t="s">
        <v>3421</v>
      </c>
      <c r="F900" s="161" t="s">
        <v>3394</v>
      </c>
      <c r="H900" s="161" t="s">
        <v>3394</v>
      </c>
    </row>
    <row r="901" spans="1:8" x14ac:dyDescent="0.25">
      <c r="A901" s="119" t="s">
        <v>499</v>
      </c>
      <c r="B901" s="161" t="s">
        <v>3414</v>
      </c>
      <c r="C901" s="119" t="s">
        <v>499</v>
      </c>
      <c r="D901" s="154" t="s">
        <v>3421</v>
      </c>
      <c r="F901" s="161" t="s">
        <v>3394</v>
      </c>
      <c r="H901" s="161" t="s">
        <v>3394</v>
      </c>
    </row>
    <row r="902" spans="1:8" x14ac:dyDescent="0.25">
      <c r="A902" s="80" t="s">
        <v>562</v>
      </c>
      <c r="B902" s="161" t="s">
        <v>3415</v>
      </c>
      <c r="C902" s="80" t="s">
        <v>562</v>
      </c>
      <c r="D902" s="154" t="s">
        <v>3421</v>
      </c>
      <c r="F902" s="161" t="s">
        <v>3394</v>
      </c>
      <c r="H902" s="161" t="s">
        <v>3394</v>
      </c>
    </row>
    <row r="903" spans="1:8" x14ac:dyDescent="0.25">
      <c r="A903" s="48" t="s">
        <v>84</v>
      </c>
      <c r="B903" s="161" t="s">
        <v>3416</v>
      </c>
      <c r="C903" s="48" t="s">
        <v>84</v>
      </c>
      <c r="D903" s="154" t="s">
        <v>3421</v>
      </c>
      <c r="F903" s="161" t="s">
        <v>3394</v>
      </c>
      <c r="H903" s="161" t="s">
        <v>3394</v>
      </c>
    </row>
    <row r="904" spans="1:8" x14ac:dyDescent="0.25">
      <c r="A904" s="176" t="s">
        <v>445</v>
      </c>
      <c r="B904" s="161" t="s">
        <v>3417</v>
      </c>
      <c r="C904" s="176" t="s">
        <v>445</v>
      </c>
      <c r="D904" s="154" t="s">
        <v>3421</v>
      </c>
      <c r="F904" s="161" t="s">
        <v>3394</v>
      </c>
      <c r="H904" s="161" t="s">
        <v>3394</v>
      </c>
    </row>
    <row r="905" spans="1:8" x14ac:dyDescent="0.25">
      <c r="A905" s="38" t="s">
        <v>89</v>
      </c>
      <c r="B905" s="161" t="s">
        <v>3418</v>
      </c>
      <c r="C905" s="38" t="s">
        <v>89</v>
      </c>
      <c r="D905" s="154" t="s">
        <v>3421</v>
      </c>
      <c r="F905" s="161" t="s">
        <v>3394</v>
      </c>
      <c r="H905" s="161" t="s">
        <v>3394</v>
      </c>
    </row>
    <row r="906" spans="1:8" x14ac:dyDescent="0.25">
      <c r="A906" s="24" t="s">
        <v>427</v>
      </c>
      <c r="B906" s="161" t="s">
        <v>3419</v>
      </c>
      <c r="C906" s="24" t="s">
        <v>427</v>
      </c>
      <c r="D906" s="154" t="s">
        <v>3421</v>
      </c>
      <c r="F906" s="161" t="s">
        <v>3394</v>
      </c>
      <c r="H906" s="161" t="s">
        <v>3394</v>
      </c>
    </row>
    <row r="907" spans="1:8" x14ac:dyDescent="0.25">
      <c r="A907" s="50" t="s">
        <v>145</v>
      </c>
      <c r="B907" s="161" t="s">
        <v>3420</v>
      </c>
      <c r="C907" s="50" t="s">
        <v>145</v>
      </c>
      <c r="D907" s="154" t="s">
        <v>3421</v>
      </c>
      <c r="F907" s="161" t="s">
        <v>3394</v>
      </c>
      <c r="H907" s="161" t="s">
        <v>3394</v>
      </c>
    </row>
    <row r="908" spans="1:8" x14ac:dyDescent="0.25">
      <c r="H908"/>
    </row>
  </sheetData>
  <phoneticPr fontId="19" type="noConversion"/>
  <conditionalFormatting sqref="K1:K889 C1:C889">
    <cfRule type="duplicateValues" dxfId="991" priority="584"/>
  </conditionalFormatting>
  <conditionalFormatting sqref="C890">
    <cfRule type="duplicateValues" dxfId="990" priority="42"/>
  </conditionalFormatting>
  <conditionalFormatting sqref="C891:C892">
    <cfRule type="duplicateValues" dxfId="989" priority="50"/>
    <cfRule type="duplicateValues" dxfId="988" priority="51"/>
  </conditionalFormatting>
  <conditionalFormatting sqref="C891:C893">
    <cfRule type="duplicateValues" dxfId="987" priority="49"/>
  </conditionalFormatting>
  <conditionalFormatting sqref="C894">
    <cfRule type="duplicateValues" dxfId="986" priority="48"/>
  </conditionalFormatting>
  <conditionalFormatting sqref="C895 C897">
    <cfRule type="duplicateValues" dxfId="985" priority="40"/>
    <cfRule type="duplicateValues" dxfId="984" priority="41"/>
  </conditionalFormatting>
  <conditionalFormatting sqref="C895:C897">
    <cfRule type="duplicateValues" dxfId="983" priority="37"/>
  </conditionalFormatting>
  <conditionalFormatting sqref="C895:C898">
    <cfRule type="duplicateValues" dxfId="982" priority="34"/>
  </conditionalFormatting>
  <conditionalFormatting sqref="C896">
    <cfRule type="duplicateValues" dxfId="981" priority="38"/>
    <cfRule type="duplicateValues" dxfId="980" priority="39"/>
  </conditionalFormatting>
  <conditionalFormatting sqref="C898">
    <cfRule type="duplicateValues" dxfId="979" priority="35"/>
    <cfRule type="duplicateValues" dxfId="978" priority="36"/>
  </conditionalFormatting>
  <conditionalFormatting sqref="C899">
    <cfRule type="duplicateValues" dxfId="977" priority="47"/>
  </conditionalFormatting>
  <conditionalFormatting sqref="C899:C900 C902">
    <cfRule type="duplicateValues" dxfId="976" priority="44"/>
  </conditionalFormatting>
  <conditionalFormatting sqref="C899:C900">
    <cfRule type="duplicateValues" dxfId="975" priority="45"/>
  </conditionalFormatting>
  <conditionalFormatting sqref="C899:C902">
    <cfRule type="duplicateValues" dxfId="974" priority="43"/>
  </conditionalFormatting>
  <conditionalFormatting sqref="C900">
    <cfRule type="duplicateValues" dxfId="973" priority="46"/>
  </conditionalFormatting>
  <conditionalFormatting sqref="C903:C904 C906">
    <cfRule type="duplicateValues" dxfId="972" priority="31"/>
  </conditionalFormatting>
  <conditionalFormatting sqref="C903:C904">
    <cfRule type="duplicateValues" dxfId="971" priority="32"/>
    <cfRule type="duplicateValues" dxfId="970" priority="33"/>
  </conditionalFormatting>
  <conditionalFormatting sqref="C905">
    <cfRule type="duplicateValues" dxfId="969" priority="28"/>
    <cfRule type="duplicateValues" dxfId="968" priority="29"/>
  </conditionalFormatting>
  <conditionalFormatting sqref="C907">
    <cfRule type="duplicateValues" dxfId="967" priority="30"/>
  </conditionalFormatting>
  <conditionalFormatting sqref="C907">
    <cfRule type="duplicateValues" dxfId="966" priority="52"/>
  </conditionalFormatting>
  <conditionalFormatting sqref="B890:B907">
    <cfRule type="duplicateValues" dxfId="965" priority="27"/>
  </conditionalFormatting>
  <conditionalFormatting sqref="A1:A889">
    <cfRule type="duplicateValues" dxfId="964" priority="26"/>
  </conditionalFormatting>
  <conditionalFormatting sqref="A890">
    <cfRule type="duplicateValues" dxfId="963" priority="15"/>
  </conditionalFormatting>
  <conditionalFormatting sqref="A891:A892">
    <cfRule type="duplicateValues" dxfId="962" priority="23"/>
    <cfRule type="duplicateValues" dxfId="961" priority="24"/>
  </conditionalFormatting>
  <conditionalFormatting sqref="A891:A893">
    <cfRule type="duplicateValues" dxfId="960" priority="22"/>
  </conditionalFormatting>
  <conditionalFormatting sqref="A894">
    <cfRule type="duplicateValues" dxfId="959" priority="21"/>
  </conditionalFormatting>
  <conditionalFormatting sqref="A895 A897">
    <cfRule type="duplicateValues" dxfId="958" priority="13"/>
    <cfRule type="duplicateValues" dxfId="957" priority="14"/>
  </conditionalFormatting>
  <conditionalFormatting sqref="A895:A897">
    <cfRule type="duplicateValues" dxfId="956" priority="10"/>
  </conditionalFormatting>
  <conditionalFormatting sqref="A895:A898">
    <cfRule type="duplicateValues" dxfId="955" priority="7"/>
  </conditionalFormatting>
  <conditionalFormatting sqref="A896">
    <cfRule type="duplicateValues" dxfId="954" priority="11"/>
    <cfRule type="duplicateValues" dxfId="953" priority="12"/>
  </conditionalFormatting>
  <conditionalFormatting sqref="A898">
    <cfRule type="duplicateValues" dxfId="952" priority="8"/>
    <cfRule type="duplicateValues" dxfId="951" priority="9"/>
  </conditionalFormatting>
  <conditionalFormatting sqref="A899">
    <cfRule type="duplicateValues" dxfId="950" priority="20"/>
  </conditionalFormatting>
  <conditionalFormatting sqref="A899:A900 A902">
    <cfRule type="duplicateValues" dxfId="949" priority="17"/>
  </conditionalFormatting>
  <conditionalFormatting sqref="A899:A900">
    <cfRule type="duplicateValues" dxfId="948" priority="18"/>
  </conditionalFormatting>
  <conditionalFormatting sqref="A899:A902">
    <cfRule type="duplicateValues" dxfId="947" priority="16"/>
  </conditionalFormatting>
  <conditionalFormatting sqref="A900">
    <cfRule type="duplicateValues" dxfId="946" priority="19"/>
  </conditionalFormatting>
  <conditionalFormatting sqref="A903:A904 A906">
    <cfRule type="duplicateValues" dxfId="945" priority="4"/>
  </conditionalFormatting>
  <conditionalFormatting sqref="A903:A904">
    <cfRule type="duplicateValues" dxfId="944" priority="5"/>
    <cfRule type="duplicateValues" dxfId="943" priority="6"/>
  </conditionalFormatting>
  <conditionalFormatting sqref="A905">
    <cfRule type="duplicateValues" dxfId="942" priority="1"/>
    <cfRule type="duplicateValues" dxfId="941" priority="2"/>
  </conditionalFormatting>
  <conditionalFormatting sqref="A907">
    <cfRule type="duplicateValues" dxfId="940" priority="3"/>
  </conditionalFormatting>
  <conditionalFormatting sqref="A907">
    <cfRule type="duplicateValues" dxfId="939" priority="2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7F1D-BA96-4CA9-A221-40A521A26A53}">
  <dimension ref="A1:XAY405"/>
  <sheetViews>
    <sheetView workbookViewId="0">
      <pane ySplit="1" topLeftCell="A2" activePane="bottomLeft" state="frozen"/>
      <selection pane="bottomLeft" activeCell="K1" sqref="K1:K1048576"/>
    </sheetView>
  </sheetViews>
  <sheetFormatPr defaultColWidth="9" defaultRowHeight="14.4" x14ac:dyDescent="0.25"/>
  <cols>
    <col min="2" max="2" width="20" style="1" customWidth="1"/>
    <col min="3" max="3" width="15.33203125" style="1" customWidth="1"/>
    <col min="4" max="4" width="10.77734375" style="1" customWidth="1"/>
    <col min="5" max="5" width="13.88671875" style="1" customWidth="1"/>
    <col min="6" max="8" width="14" style="1" customWidth="1"/>
    <col min="9" max="10" width="17.109375" style="5" customWidth="1"/>
    <col min="11" max="11" width="20" style="1" customWidth="1"/>
    <col min="12" max="16275" width="9" style="1"/>
  </cols>
  <sheetData>
    <row r="1" spans="1:11" s="2" customFormat="1" ht="31.95" customHeight="1" x14ac:dyDescent="0.25">
      <c r="A1" s="177" t="s">
        <v>3399</v>
      </c>
      <c r="B1" s="147" t="s">
        <v>3400</v>
      </c>
      <c r="C1" s="7" t="s">
        <v>5</v>
      </c>
      <c r="D1" s="7" t="s">
        <v>6</v>
      </c>
      <c r="E1" s="7" t="s">
        <v>7</v>
      </c>
      <c r="F1" s="147" t="s">
        <v>585</v>
      </c>
      <c r="G1" s="147" t="s">
        <v>592</v>
      </c>
      <c r="H1" s="147" t="s">
        <v>586</v>
      </c>
      <c r="I1" s="9" t="s">
        <v>9</v>
      </c>
      <c r="J1" s="148" t="s">
        <v>3402</v>
      </c>
      <c r="K1" s="147" t="s">
        <v>3401</v>
      </c>
    </row>
    <row r="2" spans="1:11" s="1" customFormat="1" ht="30" customHeight="1" x14ac:dyDescent="0.25">
      <c r="A2" s="1">
        <v>1</v>
      </c>
      <c r="B2" s="163" t="s">
        <v>3420</v>
      </c>
      <c r="C2" s="15" t="s">
        <v>14</v>
      </c>
      <c r="D2" s="15" t="s">
        <v>15</v>
      </c>
      <c r="E2" s="16" t="s">
        <v>16</v>
      </c>
      <c r="F2" s="16" t="s">
        <v>17</v>
      </c>
      <c r="G2" s="16" t="s">
        <v>587</v>
      </c>
      <c r="H2" s="16" t="s">
        <v>587</v>
      </c>
      <c r="I2" s="17">
        <v>44263</v>
      </c>
      <c r="J2" s="17" t="s">
        <v>142</v>
      </c>
      <c r="K2" s="11" t="str">
        <f>VLOOKUP(C2,花名册!A:B,2)</f>
        <v>JG910018</v>
      </c>
    </row>
    <row r="3" spans="1:11" s="1" customFormat="1" ht="30" customHeight="1" x14ac:dyDescent="0.25">
      <c r="A3" s="1">
        <v>2</v>
      </c>
      <c r="B3" s="163" t="s">
        <v>3419</v>
      </c>
      <c r="C3" s="19" t="s">
        <v>18</v>
      </c>
      <c r="D3" s="19" t="s">
        <v>19</v>
      </c>
      <c r="E3" s="16" t="s">
        <v>16</v>
      </c>
      <c r="F3" s="16" t="s">
        <v>17</v>
      </c>
      <c r="G3" s="16" t="s">
        <v>587</v>
      </c>
      <c r="H3" s="16" t="s">
        <v>587</v>
      </c>
      <c r="I3" s="17">
        <v>44652</v>
      </c>
      <c r="J3" s="17" t="s">
        <v>426</v>
      </c>
      <c r="K3" s="163" t="str">
        <f>VLOOKUP(C3,花名册!A:B,2)</f>
        <v>JG910017</v>
      </c>
    </row>
    <row r="4" spans="1:11" s="1" customFormat="1" ht="30" customHeight="1" x14ac:dyDescent="0.25">
      <c r="A4" s="1">
        <v>3</v>
      </c>
      <c r="B4" s="163" t="s">
        <v>2283</v>
      </c>
      <c r="C4" s="20" t="s">
        <v>21</v>
      </c>
      <c r="D4" s="19" t="s">
        <v>19</v>
      </c>
      <c r="E4" s="21" t="s">
        <v>16</v>
      </c>
      <c r="F4" s="19" t="s">
        <v>22</v>
      </c>
      <c r="G4" s="143" t="s">
        <v>590</v>
      </c>
      <c r="H4" s="19" t="s">
        <v>590</v>
      </c>
      <c r="I4" s="22">
        <v>45908</v>
      </c>
      <c r="J4" s="17" t="s">
        <v>20</v>
      </c>
      <c r="K4" s="163" t="str">
        <f>VLOOKUP(C4,花名册!A:B,2)</f>
        <v>JG002845</v>
      </c>
    </row>
    <row r="5" spans="1:11" s="1" customFormat="1" ht="30" customHeight="1" x14ac:dyDescent="0.25">
      <c r="A5" s="1">
        <v>4</v>
      </c>
      <c r="B5" s="163" t="s">
        <v>2422</v>
      </c>
      <c r="C5" s="24" t="s">
        <v>23</v>
      </c>
      <c r="D5" s="15" t="s">
        <v>15</v>
      </c>
      <c r="E5" s="16" t="s">
        <v>16</v>
      </c>
      <c r="F5" s="15" t="s">
        <v>22</v>
      </c>
      <c r="G5" s="15" t="s">
        <v>590</v>
      </c>
      <c r="H5" s="15" t="s">
        <v>590</v>
      </c>
      <c r="I5" s="25">
        <v>45908</v>
      </c>
      <c r="J5" s="17" t="s">
        <v>20</v>
      </c>
      <c r="K5" s="163" t="str">
        <f>VLOOKUP(C5,花名册!A:B,2)</f>
        <v>JG002846</v>
      </c>
    </row>
    <row r="6" spans="1:11" s="1" customFormat="1" ht="30" customHeight="1" x14ac:dyDescent="0.25">
      <c r="A6" s="1">
        <v>5</v>
      </c>
      <c r="B6" s="163" t="s">
        <v>1850</v>
      </c>
      <c r="C6" s="11" t="s">
        <v>25</v>
      </c>
      <c r="D6" s="19" t="s">
        <v>15</v>
      </c>
      <c r="E6" s="21" t="s">
        <v>16</v>
      </c>
      <c r="F6" s="21" t="s">
        <v>22</v>
      </c>
      <c r="G6" s="21" t="s">
        <v>590</v>
      </c>
      <c r="H6" s="21" t="s">
        <v>590</v>
      </c>
      <c r="I6" s="26">
        <v>45615</v>
      </c>
      <c r="J6" s="17" t="s">
        <v>24</v>
      </c>
      <c r="K6" s="163" t="str">
        <f>VLOOKUP(C6,花名册!A:B,2)</f>
        <v>JG002155</v>
      </c>
    </row>
    <row r="7" spans="1:11" s="1" customFormat="1" ht="30" customHeight="1" x14ac:dyDescent="0.25">
      <c r="A7" s="1">
        <v>6</v>
      </c>
      <c r="B7" s="163" t="s">
        <v>3420</v>
      </c>
      <c r="C7" s="21" t="s">
        <v>26</v>
      </c>
      <c r="D7" s="28" t="s">
        <v>19</v>
      </c>
      <c r="E7" s="21" t="s">
        <v>27</v>
      </c>
      <c r="F7" s="19"/>
      <c r="G7" s="143"/>
      <c r="H7" s="19"/>
      <c r="I7" s="26">
        <v>45615</v>
      </c>
      <c r="J7" s="17" t="s">
        <v>142</v>
      </c>
      <c r="K7" s="163" t="str">
        <f>VLOOKUP(C7,花名册!A:B,2)</f>
        <v>JG910018</v>
      </c>
    </row>
    <row r="8" spans="1:11" s="1" customFormat="1" ht="30" customHeight="1" x14ac:dyDescent="0.25">
      <c r="A8" s="1">
        <v>7</v>
      </c>
      <c r="B8" s="163" t="s">
        <v>909</v>
      </c>
      <c r="C8" s="30" t="s">
        <v>30</v>
      </c>
      <c r="D8" s="15" t="s">
        <v>19</v>
      </c>
      <c r="E8" s="31" t="s">
        <v>16</v>
      </c>
      <c r="F8" s="15" t="s">
        <v>17</v>
      </c>
      <c r="G8" s="15" t="s">
        <v>587</v>
      </c>
      <c r="H8" s="15" t="s">
        <v>587</v>
      </c>
      <c r="I8" s="32">
        <v>46183</v>
      </c>
      <c r="J8" s="17" t="s">
        <v>29</v>
      </c>
      <c r="K8" s="163" t="str">
        <f>VLOOKUP(C8,花名册!A:B,2)</f>
        <v>JG001518</v>
      </c>
    </row>
    <row r="9" spans="1:11" s="1" customFormat="1" ht="30" customHeight="1" x14ac:dyDescent="0.25">
      <c r="A9" s="1">
        <v>8</v>
      </c>
      <c r="B9" s="163" t="s">
        <v>1249</v>
      </c>
      <c r="C9" s="33" t="s">
        <v>31</v>
      </c>
      <c r="D9" s="15" t="s">
        <v>15</v>
      </c>
      <c r="E9" s="16" t="s">
        <v>16</v>
      </c>
      <c r="F9" s="15" t="s">
        <v>17</v>
      </c>
      <c r="G9" s="15" t="s">
        <v>587</v>
      </c>
      <c r="H9" s="15" t="s">
        <v>587</v>
      </c>
      <c r="I9" s="32">
        <v>46183</v>
      </c>
      <c r="J9" s="17" t="s">
        <v>29</v>
      </c>
      <c r="K9" s="163" t="str">
        <f>VLOOKUP(C9,花名册!A:B,2)</f>
        <v>JG000851</v>
      </c>
    </row>
    <row r="10" spans="1:11" s="1" customFormat="1" ht="30" customHeight="1" x14ac:dyDescent="0.25">
      <c r="A10" s="1">
        <v>9</v>
      </c>
      <c r="B10" s="163" t="s">
        <v>1758</v>
      </c>
      <c r="C10" s="28" t="s">
        <v>33</v>
      </c>
      <c r="D10" s="28" t="s">
        <v>19</v>
      </c>
      <c r="E10" s="21" t="s">
        <v>16</v>
      </c>
      <c r="F10" s="28" t="s">
        <v>34</v>
      </c>
      <c r="G10" s="138" t="s">
        <v>593</v>
      </c>
      <c r="H10" s="28" t="s">
        <v>593</v>
      </c>
      <c r="I10" s="26">
        <v>45280</v>
      </c>
      <c r="J10" s="17" t="s">
        <v>32</v>
      </c>
      <c r="K10" s="163" t="str">
        <f>VLOOKUP(C10,花名册!A:B,2)</f>
        <v>JG001557</v>
      </c>
    </row>
    <row r="11" spans="1:11" s="1" customFormat="1" ht="30" customHeight="1" x14ac:dyDescent="0.25">
      <c r="A11" s="1">
        <v>10</v>
      </c>
      <c r="B11" s="163" t="s">
        <v>1797</v>
      </c>
      <c r="C11" s="28" t="s">
        <v>35</v>
      </c>
      <c r="D11" s="28" t="s">
        <v>15</v>
      </c>
      <c r="E11" s="21" t="s">
        <v>16</v>
      </c>
      <c r="F11" s="28" t="s">
        <v>34</v>
      </c>
      <c r="G11" s="138" t="s">
        <v>593</v>
      </c>
      <c r="H11" s="28" t="s">
        <v>593</v>
      </c>
      <c r="I11" s="26">
        <v>45280</v>
      </c>
      <c r="J11" s="17" t="s">
        <v>32</v>
      </c>
      <c r="K11" s="163" t="str">
        <f>VLOOKUP(C11,花名册!A:B,2)</f>
        <v>JG000206</v>
      </c>
    </row>
    <row r="12" spans="1:11" s="1" customFormat="1" ht="30" customHeight="1" x14ac:dyDescent="0.25">
      <c r="A12" s="1">
        <v>11</v>
      </c>
      <c r="B12" s="163" t="s">
        <v>1646</v>
      </c>
      <c r="C12" s="15" t="s">
        <v>37</v>
      </c>
      <c r="D12" s="15" t="s">
        <v>15</v>
      </c>
      <c r="E12" s="16" t="s">
        <v>16</v>
      </c>
      <c r="F12" s="15" t="s">
        <v>38</v>
      </c>
      <c r="G12" s="15" t="s">
        <v>594</v>
      </c>
      <c r="H12" s="15" t="s">
        <v>594</v>
      </c>
      <c r="I12" s="17">
        <v>43263</v>
      </c>
      <c r="J12" s="17" t="s">
        <v>36</v>
      </c>
      <c r="K12" s="163" t="str">
        <f>VLOOKUP(C12,花名册!A:B,2)</f>
        <v>JG000105</v>
      </c>
    </row>
    <row r="13" spans="1:11" s="1" customFormat="1" ht="30" customHeight="1" x14ac:dyDescent="0.25">
      <c r="A13" s="1">
        <v>12</v>
      </c>
      <c r="B13" s="163" t="s">
        <v>1963</v>
      </c>
      <c r="C13" s="15" t="s">
        <v>39</v>
      </c>
      <c r="D13" s="19" t="s">
        <v>19</v>
      </c>
      <c r="E13" s="16" t="s">
        <v>16</v>
      </c>
      <c r="F13" s="15" t="s">
        <v>38</v>
      </c>
      <c r="G13" s="15" t="s">
        <v>594</v>
      </c>
      <c r="H13" s="15" t="s">
        <v>594</v>
      </c>
      <c r="I13" s="17">
        <v>43263</v>
      </c>
      <c r="J13" s="17" t="s">
        <v>36</v>
      </c>
      <c r="K13" s="163" t="str">
        <f>VLOOKUP(C13,花名册!A:B,2)</f>
        <v>JG000104</v>
      </c>
    </row>
    <row r="14" spans="1:11" s="1" customFormat="1" ht="30" customHeight="1" x14ac:dyDescent="0.25">
      <c r="A14" s="1">
        <v>13</v>
      </c>
      <c r="B14" s="163" t="s">
        <v>2161</v>
      </c>
      <c r="C14" s="15" t="s">
        <v>41</v>
      </c>
      <c r="D14" s="15" t="s">
        <v>15</v>
      </c>
      <c r="E14" s="16" t="s">
        <v>16</v>
      </c>
      <c r="F14" s="15" t="s">
        <v>38</v>
      </c>
      <c r="G14" s="15" t="s">
        <v>594</v>
      </c>
      <c r="H14" s="15" t="s">
        <v>594</v>
      </c>
      <c r="I14" s="17">
        <v>43260</v>
      </c>
      <c r="J14" s="17" t="s">
        <v>40</v>
      </c>
      <c r="K14" s="163" t="str">
        <f>VLOOKUP(C14,花名册!A:B,2)</f>
        <v>JG000102</v>
      </c>
    </row>
    <row r="15" spans="1:11" s="1" customFormat="1" ht="30" customHeight="1" x14ac:dyDescent="0.25">
      <c r="A15" s="1">
        <v>14</v>
      </c>
      <c r="B15" s="163" t="s">
        <v>822</v>
      </c>
      <c r="C15" s="15" t="s">
        <v>42</v>
      </c>
      <c r="D15" s="19" t="s">
        <v>19</v>
      </c>
      <c r="E15" s="16" t="s">
        <v>16</v>
      </c>
      <c r="F15" s="15" t="s">
        <v>38</v>
      </c>
      <c r="G15" s="15" t="s">
        <v>594</v>
      </c>
      <c r="H15" s="15" t="s">
        <v>594</v>
      </c>
      <c r="I15" s="17">
        <v>43260</v>
      </c>
      <c r="J15" s="17" t="s">
        <v>40</v>
      </c>
      <c r="K15" s="163" t="str">
        <f>VLOOKUP(C15,花名册!A:B,2)</f>
        <v>JG000103</v>
      </c>
    </row>
    <row r="16" spans="1:11" s="1" customFormat="1" ht="30" customHeight="1" x14ac:dyDescent="0.25">
      <c r="A16" s="1">
        <v>15</v>
      </c>
      <c r="B16" s="163" t="s">
        <v>3418</v>
      </c>
      <c r="C16" s="28" t="s">
        <v>44</v>
      </c>
      <c r="D16" s="19" t="s">
        <v>19</v>
      </c>
      <c r="E16" s="21" t="s">
        <v>16</v>
      </c>
      <c r="F16" s="19" t="s">
        <v>45</v>
      </c>
      <c r="G16" s="143" t="s">
        <v>595</v>
      </c>
      <c r="H16" s="19" t="s">
        <v>595</v>
      </c>
      <c r="I16" s="26">
        <v>46113</v>
      </c>
      <c r="J16" s="17" t="s">
        <v>88</v>
      </c>
      <c r="K16" s="163" t="str">
        <f>VLOOKUP(C16,花名册!A:B,2)</f>
        <v>JG910016</v>
      </c>
    </row>
    <row r="17" spans="1:11" s="1" customFormat="1" ht="30" customHeight="1" x14ac:dyDescent="0.25">
      <c r="A17" s="1">
        <v>16</v>
      </c>
      <c r="B17" s="163" t="s">
        <v>1189</v>
      </c>
      <c r="C17" s="28" t="s">
        <v>46</v>
      </c>
      <c r="D17" s="15" t="s">
        <v>15</v>
      </c>
      <c r="E17" s="21" t="s">
        <v>16</v>
      </c>
      <c r="F17" s="19" t="s">
        <v>45</v>
      </c>
      <c r="G17" s="143" t="s">
        <v>595</v>
      </c>
      <c r="H17" s="19" t="s">
        <v>595</v>
      </c>
      <c r="I17" s="26">
        <v>46113</v>
      </c>
      <c r="J17" s="17" t="s">
        <v>43</v>
      </c>
      <c r="K17" s="163" t="str">
        <f>VLOOKUP(C17,花名册!A:B,2)</f>
        <v>JG002725</v>
      </c>
    </row>
    <row r="18" spans="1:11" s="1" customFormat="1" ht="30" customHeight="1" x14ac:dyDescent="0.25">
      <c r="A18" s="1">
        <v>17</v>
      </c>
      <c r="B18" s="163" t="s">
        <v>3418</v>
      </c>
      <c r="C18" s="15" t="s">
        <v>48</v>
      </c>
      <c r="D18" s="15" t="s">
        <v>15</v>
      </c>
      <c r="E18" s="16" t="s">
        <v>16</v>
      </c>
      <c r="F18" s="15" t="s">
        <v>34</v>
      </c>
      <c r="G18" s="15" t="s">
        <v>593</v>
      </c>
      <c r="H18" s="15" t="s">
        <v>593</v>
      </c>
      <c r="I18" s="17">
        <v>44281</v>
      </c>
      <c r="J18" s="17" t="s">
        <v>88</v>
      </c>
      <c r="K18" s="163" t="str">
        <f>VLOOKUP(C18,花名册!A:B,2)</f>
        <v>JG910016</v>
      </c>
    </row>
    <row r="19" spans="1:11" s="1" customFormat="1" ht="30" customHeight="1" x14ac:dyDescent="0.25">
      <c r="A19" s="1">
        <v>18</v>
      </c>
      <c r="B19" s="163" t="s">
        <v>3420</v>
      </c>
      <c r="C19" s="15" t="s">
        <v>49</v>
      </c>
      <c r="D19" s="19" t="s">
        <v>19</v>
      </c>
      <c r="E19" s="16" t="s">
        <v>16</v>
      </c>
      <c r="F19" s="15" t="s">
        <v>34</v>
      </c>
      <c r="G19" s="15" t="s">
        <v>593</v>
      </c>
      <c r="H19" s="15" t="s">
        <v>593</v>
      </c>
      <c r="I19" s="17">
        <v>44281</v>
      </c>
      <c r="J19" s="17" t="s">
        <v>142</v>
      </c>
      <c r="K19" s="163" t="str">
        <f>VLOOKUP(C19,花名册!A:B,2)</f>
        <v>JG910018</v>
      </c>
    </row>
    <row r="20" spans="1:11" s="1" customFormat="1" ht="30" customHeight="1" x14ac:dyDescent="0.25">
      <c r="A20" s="1">
        <v>19</v>
      </c>
      <c r="B20" s="163" t="s">
        <v>1668</v>
      </c>
      <c r="C20" s="15" t="s">
        <v>51</v>
      </c>
      <c r="D20" s="19" t="s">
        <v>19</v>
      </c>
      <c r="E20" s="16" t="s">
        <v>16</v>
      </c>
      <c r="F20" s="15" t="s">
        <v>34</v>
      </c>
      <c r="G20" s="15" t="s">
        <v>593</v>
      </c>
      <c r="H20" s="15" t="s">
        <v>593</v>
      </c>
      <c r="I20" s="17">
        <v>44418</v>
      </c>
      <c r="J20" s="17" t="s">
        <v>50</v>
      </c>
      <c r="K20" s="163" t="str">
        <f>VLOOKUP(C20,花名册!A:B,2)</f>
        <v>JG000339</v>
      </c>
    </row>
    <row r="21" spans="1:11" s="1" customFormat="1" ht="30" customHeight="1" x14ac:dyDescent="0.25">
      <c r="A21" s="1">
        <v>20</v>
      </c>
      <c r="B21" s="163" t="s">
        <v>1861</v>
      </c>
      <c r="C21" s="15" t="s">
        <v>52</v>
      </c>
      <c r="D21" s="19" t="s">
        <v>15</v>
      </c>
      <c r="E21" s="16" t="s">
        <v>16</v>
      </c>
      <c r="F21" s="15" t="s">
        <v>34</v>
      </c>
      <c r="G21" s="15" t="s">
        <v>593</v>
      </c>
      <c r="H21" s="15" t="s">
        <v>593</v>
      </c>
      <c r="I21" s="17">
        <v>45080</v>
      </c>
      <c r="J21" s="17" t="s">
        <v>50</v>
      </c>
      <c r="K21" s="163" t="str">
        <f>VLOOKUP(C21,花名册!A:B,2)</f>
        <v>JG001514</v>
      </c>
    </row>
    <row r="22" spans="1:11" s="1" customFormat="1" ht="30" customHeight="1" x14ac:dyDescent="0.25">
      <c r="A22" s="1">
        <v>21</v>
      </c>
      <c r="B22" s="163" t="s">
        <v>1071</v>
      </c>
      <c r="C22" s="28" t="s">
        <v>54</v>
      </c>
      <c r="D22" s="28" t="s">
        <v>15</v>
      </c>
      <c r="E22" s="21" t="s">
        <v>16</v>
      </c>
      <c r="F22" s="28" t="s">
        <v>17</v>
      </c>
      <c r="G22" s="138" t="s">
        <v>587</v>
      </c>
      <c r="H22" s="28" t="s">
        <v>587</v>
      </c>
      <c r="I22" s="17"/>
      <c r="J22" s="17" t="s">
        <v>53</v>
      </c>
      <c r="K22" s="163" t="str">
        <f>VLOOKUP(C22,花名册!A:B,2)</f>
        <v>JG001249</v>
      </c>
    </row>
    <row r="23" spans="1:11" s="1" customFormat="1" ht="30" customHeight="1" x14ac:dyDescent="0.25">
      <c r="A23" s="1">
        <v>22</v>
      </c>
      <c r="B23" s="163" t="s">
        <v>1272</v>
      </c>
      <c r="C23" s="28" t="s">
        <v>55</v>
      </c>
      <c r="D23" s="28" t="s">
        <v>19</v>
      </c>
      <c r="E23" s="21" t="s">
        <v>16</v>
      </c>
      <c r="F23" s="28" t="s">
        <v>17</v>
      </c>
      <c r="G23" s="138" t="s">
        <v>587</v>
      </c>
      <c r="H23" s="28" t="s">
        <v>587</v>
      </c>
      <c r="I23" s="17"/>
      <c r="J23" s="17" t="s">
        <v>53</v>
      </c>
      <c r="K23" s="163" t="str">
        <f>VLOOKUP(C23,花名册!A:B,2)</f>
        <v>JG001250</v>
      </c>
    </row>
    <row r="24" spans="1:11" s="1" customFormat="1" ht="30" customHeight="1" x14ac:dyDescent="0.25">
      <c r="A24" s="1">
        <v>23</v>
      </c>
      <c r="B24" s="163" t="s">
        <v>2256</v>
      </c>
      <c r="C24" s="15" t="s">
        <v>57</v>
      </c>
      <c r="D24" s="28" t="s">
        <v>15</v>
      </c>
      <c r="E24" s="21" t="s">
        <v>16</v>
      </c>
      <c r="F24" s="28" t="s">
        <v>45</v>
      </c>
      <c r="G24" s="138" t="s">
        <v>595</v>
      </c>
      <c r="H24" s="28" t="s">
        <v>595</v>
      </c>
      <c r="I24" s="21"/>
      <c r="J24" s="17" t="s">
        <v>56</v>
      </c>
      <c r="K24" s="163" t="str">
        <f>VLOOKUP(C24,花名册!A:B,2)</f>
        <v>JG001233</v>
      </c>
    </row>
    <row r="25" spans="1:11" s="1" customFormat="1" ht="30" customHeight="1" x14ac:dyDescent="0.25">
      <c r="A25" s="1">
        <v>24</v>
      </c>
      <c r="B25" s="163" t="s">
        <v>3420</v>
      </c>
      <c r="C25" s="15" t="s">
        <v>58</v>
      </c>
      <c r="D25" s="28" t="s">
        <v>19</v>
      </c>
      <c r="E25" s="21" t="s">
        <v>16</v>
      </c>
      <c r="F25" s="28" t="s">
        <v>45</v>
      </c>
      <c r="G25" s="138" t="s">
        <v>595</v>
      </c>
      <c r="H25" s="28" t="s">
        <v>595</v>
      </c>
      <c r="I25" s="21"/>
      <c r="J25" s="17" t="s">
        <v>142</v>
      </c>
      <c r="K25" s="163" t="str">
        <f>VLOOKUP(C25,花名册!A:B,2)</f>
        <v>JG910018</v>
      </c>
    </row>
    <row r="26" spans="1:11" s="1" customFormat="1" ht="30" customHeight="1" x14ac:dyDescent="0.25">
      <c r="A26" s="1">
        <v>25</v>
      </c>
      <c r="B26" s="163" t="s">
        <v>1617</v>
      </c>
      <c r="C26" s="15" t="s">
        <v>60</v>
      </c>
      <c r="D26" s="15" t="s">
        <v>15</v>
      </c>
      <c r="E26" s="16" t="s">
        <v>16</v>
      </c>
      <c r="F26" s="15" t="s">
        <v>38</v>
      </c>
      <c r="G26" s="15" t="s">
        <v>594</v>
      </c>
      <c r="H26" s="15" t="s">
        <v>594</v>
      </c>
      <c r="I26" s="17">
        <v>42072</v>
      </c>
      <c r="J26" s="17" t="s">
        <v>59</v>
      </c>
      <c r="K26" s="163" t="str">
        <f>VLOOKUP(C26,花名册!A:B,2)</f>
        <v>JG000048</v>
      </c>
    </row>
    <row r="27" spans="1:11" s="1" customFormat="1" ht="30" customHeight="1" x14ac:dyDescent="0.25">
      <c r="A27" s="1">
        <v>26</v>
      </c>
      <c r="B27" s="163" t="s">
        <v>1083</v>
      </c>
      <c r="C27" s="15" t="s">
        <v>61</v>
      </c>
      <c r="D27" s="19" t="s">
        <v>19</v>
      </c>
      <c r="E27" s="16" t="s">
        <v>16</v>
      </c>
      <c r="F27" s="15" t="s">
        <v>38</v>
      </c>
      <c r="G27" s="15" t="s">
        <v>594</v>
      </c>
      <c r="H27" s="15" t="s">
        <v>594</v>
      </c>
      <c r="I27" s="17">
        <v>42072</v>
      </c>
      <c r="J27" s="17" t="s">
        <v>59</v>
      </c>
      <c r="K27" s="163" t="str">
        <f>VLOOKUP(C27,花名册!A:B,2)</f>
        <v>JG000049</v>
      </c>
    </row>
    <row r="28" spans="1:11" s="1" customFormat="1" ht="30" customHeight="1" x14ac:dyDescent="0.25">
      <c r="A28" s="1">
        <v>27</v>
      </c>
      <c r="B28" s="163" t="s">
        <v>2341</v>
      </c>
      <c r="C28" s="15" t="s">
        <v>63</v>
      </c>
      <c r="D28" s="28" t="s">
        <v>15</v>
      </c>
      <c r="E28" s="21" t="s">
        <v>64</v>
      </c>
      <c r="F28" s="15" t="s">
        <v>65</v>
      </c>
      <c r="G28" s="15"/>
      <c r="H28" s="15"/>
      <c r="I28" s="15"/>
      <c r="J28" s="17" t="s">
        <v>327</v>
      </c>
      <c r="K28" s="163" t="str">
        <f>VLOOKUP(C28,花名册!A:B,2)</f>
        <v>JG002641</v>
      </c>
    </row>
    <row r="29" spans="1:11" s="1" customFormat="1" ht="30" customHeight="1" x14ac:dyDescent="0.25">
      <c r="A29" s="1">
        <v>28</v>
      </c>
      <c r="B29" s="163" t="s">
        <v>2346</v>
      </c>
      <c r="C29" s="38" t="s">
        <v>66</v>
      </c>
      <c r="D29" s="19" t="s">
        <v>15</v>
      </c>
      <c r="E29" s="16" t="s">
        <v>16</v>
      </c>
      <c r="F29" s="21" t="s">
        <v>67</v>
      </c>
      <c r="G29" s="21"/>
      <c r="H29" s="21"/>
      <c r="I29" s="39">
        <v>45839</v>
      </c>
      <c r="J29" s="17" t="s">
        <v>82</v>
      </c>
      <c r="K29" s="163" t="str">
        <f>VLOOKUP(C29,花名册!A:B,2)</f>
        <v>JG002686</v>
      </c>
    </row>
    <row r="30" spans="1:11" s="1" customFormat="1" ht="30" customHeight="1" x14ac:dyDescent="0.25">
      <c r="A30" s="1">
        <v>29</v>
      </c>
      <c r="B30" s="163" t="s">
        <v>3418</v>
      </c>
      <c r="C30" s="40" t="s">
        <v>70</v>
      </c>
      <c r="D30" s="36" t="s">
        <v>19</v>
      </c>
      <c r="E30" s="41" t="s">
        <v>16</v>
      </c>
      <c r="F30" s="40" t="s">
        <v>71</v>
      </c>
      <c r="G30" s="144"/>
      <c r="H30" s="40"/>
      <c r="I30" s="26" t="s">
        <v>72</v>
      </c>
      <c r="J30" s="17" t="s">
        <v>88</v>
      </c>
      <c r="K30" s="163" t="str">
        <f>VLOOKUP(C30,花名册!A:B,2)</f>
        <v>JG910016</v>
      </c>
    </row>
    <row r="31" spans="1:11" s="1" customFormat="1" ht="30" customHeight="1" x14ac:dyDescent="0.25">
      <c r="A31" s="1">
        <v>30</v>
      </c>
      <c r="B31" s="163" t="s">
        <v>2005</v>
      </c>
      <c r="C31" s="21" t="s">
        <v>73</v>
      </c>
      <c r="D31" s="28" t="s">
        <v>15</v>
      </c>
      <c r="E31" s="20" t="s">
        <v>16</v>
      </c>
      <c r="F31" s="20" t="s">
        <v>74</v>
      </c>
      <c r="G31" s="145"/>
      <c r="H31" s="20"/>
      <c r="I31" s="26" t="s">
        <v>72</v>
      </c>
      <c r="J31" s="17" t="s">
        <v>69</v>
      </c>
      <c r="K31" s="163" t="str">
        <f>VLOOKUP(C31,花名册!A:B,2)</f>
        <v>JG002881</v>
      </c>
    </row>
    <row r="32" spans="1:11" s="1" customFormat="1" ht="30" customHeight="1" x14ac:dyDescent="0.25">
      <c r="A32" s="1">
        <v>31</v>
      </c>
      <c r="B32" s="163" t="e">
        <v>#N/A</v>
      </c>
      <c r="C32" s="15" t="s">
        <v>76</v>
      </c>
      <c r="D32" s="19" t="s">
        <v>15</v>
      </c>
      <c r="E32" s="16" t="s">
        <v>64</v>
      </c>
      <c r="F32" s="15"/>
      <c r="G32" s="15"/>
      <c r="H32" s="15"/>
      <c r="I32" s="17">
        <v>43969</v>
      </c>
      <c r="J32" s="17" t="e">
        <v>#N/A</v>
      </c>
      <c r="K32" s="163" t="e">
        <f>VLOOKUP(C32,花名册!A:B,2)</f>
        <v>#N/A</v>
      </c>
    </row>
    <row r="33" spans="1:11" s="1" customFormat="1" ht="30" customHeight="1" x14ac:dyDescent="0.25">
      <c r="A33" s="1">
        <v>32</v>
      </c>
      <c r="B33" s="163" t="s">
        <v>1896</v>
      </c>
      <c r="C33" s="15" t="s">
        <v>78</v>
      </c>
      <c r="D33" s="15" t="s">
        <v>15</v>
      </c>
      <c r="E33" s="15" t="s">
        <v>64</v>
      </c>
      <c r="F33" s="16"/>
      <c r="G33" s="16"/>
      <c r="H33" s="16"/>
      <c r="I33" s="17">
        <v>38887</v>
      </c>
      <c r="J33" s="17" t="s">
        <v>69</v>
      </c>
      <c r="K33" s="163" t="str">
        <f>VLOOKUP(C33,花名册!A:B,2)</f>
        <v>JG002886</v>
      </c>
    </row>
    <row r="34" spans="1:11" s="1" customFormat="1" ht="30" customHeight="1" x14ac:dyDescent="0.25">
      <c r="A34" s="1">
        <v>33</v>
      </c>
      <c r="B34" s="163" t="s">
        <v>2471</v>
      </c>
      <c r="C34" s="11" t="s">
        <v>80</v>
      </c>
      <c r="D34" s="19" t="s">
        <v>19</v>
      </c>
      <c r="E34" s="21" t="s">
        <v>16</v>
      </c>
      <c r="F34" s="28" t="s">
        <v>34</v>
      </c>
      <c r="G34" s="138" t="s">
        <v>593</v>
      </c>
      <c r="H34" s="28" t="s">
        <v>593</v>
      </c>
      <c r="I34" s="26">
        <v>45705</v>
      </c>
      <c r="J34" s="17" t="s">
        <v>79</v>
      </c>
      <c r="K34" s="163" t="str">
        <f>VLOOKUP(C34,花名册!A:B,2)</f>
        <v>JG002025</v>
      </c>
    </row>
    <row r="35" spans="1:11" s="1" customFormat="1" ht="30" customHeight="1" x14ac:dyDescent="0.25">
      <c r="A35" s="1">
        <v>34</v>
      </c>
      <c r="B35" s="163" t="s">
        <v>1859</v>
      </c>
      <c r="C35" s="11" t="s">
        <v>81</v>
      </c>
      <c r="D35" s="28" t="s">
        <v>15</v>
      </c>
      <c r="E35" s="21" t="s">
        <v>16</v>
      </c>
      <c r="F35" s="28" t="s">
        <v>34</v>
      </c>
      <c r="G35" s="138" t="s">
        <v>593</v>
      </c>
      <c r="H35" s="28" t="s">
        <v>593</v>
      </c>
      <c r="I35" s="26">
        <v>45705</v>
      </c>
      <c r="J35" s="17" t="s">
        <v>79</v>
      </c>
      <c r="K35" s="163" t="str">
        <f>VLOOKUP(C35,花名册!A:B,2)</f>
        <v>JG002061</v>
      </c>
    </row>
    <row r="36" spans="1:11" s="1" customFormat="1" ht="30" customHeight="1" x14ac:dyDescent="0.25">
      <c r="A36" s="1">
        <v>35</v>
      </c>
      <c r="B36" s="163" t="s">
        <v>2346</v>
      </c>
      <c r="C36" s="38" t="s">
        <v>66</v>
      </c>
      <c r="D36" s="19" t="s">
        <v>15</v>
      </c>
      <c r="E36" s="16" t="s">
        <v>16</v>
      </c>
      <c r="F36" s="21" t="s">
        <v>67</v>
      </c>
      <c r="G36" s="21"/>
      <c r="H36" s="21"/>
      <c r="I36" s="39">
        <v>45839</v>
      </c>
      <c r="J36" s="17" t="s">
        <v>82</v>
      </c>
      <c r="K36" s="163" t="str">
        <f>VLOOKUP(C36,花名册!A:B,2)</f>
        <v>JG002686</v>
      </c>
    </row>
    <row r="37" spans="1:11" s="1" customFormat="1" ht="30" customHeight="1" x14ac:dyDescent="0.25">
      <c r="A37" s="1">
        <v>36</v>
      </c>
      <c r="B37" s="163" t="e">
        <v>#N/A</v>
      </c>
      <c r="C37" s="23"/>
      <c r="D37" s="43"/>
      <c r="E37" s="44"/>
      <c r="F37" s="43"/>
      <c r="G37" s="43"/>
      <c r="H37" s="43"/>
      <c r="I37" s="45"/>
      <c r="J37" s="17" t="e">
        <v>#N/A</v>
      </c>
      <c r="K37" s="163" t="e">
        <f>VLOOKUP(C37,花名册!A:B,2)</f>
        <v>#N/A</v>
      </c>
    </row>
    <row r="38" spans="1:11" s="1" customFormat="1" ht="30" customHeight="1" x14ac:dyDescent="0.25">
      <c r="A38" s="1">
        <v>37</v>
      </c>
      <c r="B38" s="163" t="e">
        <v>#N/A</v>
      </c>
      <c r="C38" s="43"/>
      <c r="D38" s="43"/>
      <c r="E38" s="44"/>
      <c r="F38" s="43"/>
      <c r="G38" s="43"/>
      <c r="H38" s="43"/>
      <c r="I38" s="46"/>
      <c r="J38" s="17" t="e">
        <v>#N/A</v>
      </c>
      <c r="K38" s="163" t="e">
        <f>VLOOKUP(C38,花名册!A:B,2)</f>
        <v>#N/A</v>
      </c>
    </row>
    <row r="39" spans="1:11" s="1" customFormat="1" ht="30" customHeight="1" x14ac:dyDescent="0.25">
      <c r="A39" s="1">
        <v>38</v>
      </c>
      <c r="B39" s="163" t="e">
        <v>#N/A</v>
      </c>
      <c r="C39" s="11"/>
      <c r="D39" s="11"/>
      <c r="E39" s="11"/>
      <c r="F39" s="11"/>
      <c r="G39" s="136"/>
      <c r="H39" s="11"/>
      <c r="I39" s="17"/>
      <c r="J39" s="17" t="e">
        <v>#N/A</v>
      </c>
      <c r="K39" s="163" t="e">
        <f>VLOOKUP(C39,花名册!A:B,2)</f>
        <v>#N/A</v>
      </c>
    </row>
    <row r="40" spans="1:11" s="1" customFormat="1" ht="30" customHeight="1" x14ac:dyDescent="0.25">
      <c r="A40" s="1">
        <v>39</v>
      </c>
      <c r="B40" s="163" t="s">
        <v>2123</v>
      </c>
      <c r="C40" s="48" t="s">
        <v>84</v>
      </c>
      <c r="D40" s="19" t="s">
        <v>15</v>
      </c>
      <c r="E40" s="49" t="s">
        <v>85</v>
      </c>
      <c r="F40" s="49" t="s">
        <v>86</v>
      </c>
      <c r="G40" s="49"/>
      <c r="H40" s="49"/>
      <c r="I40" s="17">
        <v>46204</v>
      </c>
      <c r="J40" s="17" t="s">
        <v>464</v>
      </c>
      <c r="K40" s="163" t="str">
        <f>VLOOKUP(C40,花名册!A:B,2)</f>
        <v>JG002005</v>
      </c>
    </row>
    <row r="41" spans="1:11" s="1" customFormat="1" ht="30" customHeight="1" x14ac:dyDescent="0.25">
      <c r="A41" s="1">
        <v>40</v>
      </c>
      <c r="B41" s="163" t="s">
        <v>1602</v>
      </c>
      <c r="C41" s="50" t="s">
        <v>87</v>
      </c>
      <c r="D41" s="19" t="s">
        <v>15</v>
      </c>
      <c r="E41" s="49" t="s">
        <v>85</v>
      </c>
      <c r="F41" s="49" t="s">
        <v>86</v>
      </c>
      <c r="G41" s="49"/>
      <c r="H41" s="49"/>
      <c r="I41" s="51">
        <v>46204</v>
      </c>
      <c r="J41" s="17" t="s">
        <v>59</v>
      </c>
      <c r="K41" s="163" t="str">
        <f>VLOOKUP(C41,花名册!A:B,2)</f>
        <v>JG000051</v>
      </c>
    </row>
    <row r="42" spans="1:11" s="1" customFormat="1" ht="30" customHeight="1" x14ac:dyDescent="0.25">
      <c r="A42" s="1">
        <v>41</v>
      </c>
      <c r="B42" s="163" t="e">
        <v>#N/A</v>
      </c>
      <c r="C42" s="29"/>
      <c r="D42" s="11"/>
      <c r="E42" s="49"/>
      <c r="F42" s="11"/>
      <c r="G42" s="136"/>
      <c r="H42" s="11"/>
      <c r="I42" s="17"/>
      <c r="J42" s="17" t="e">
        <v>#N/A</v>
      </c>
      <c r="K42" s="163" t="e">
        <f>VLOOKUP(C42,花名册!A:B,2)</f>
        <v>#N/A</v>
      </c>
    </row>
    <row r="43" spans="1:11" s="1" customFormat="1" ht="30" customHeight="1" x14ac:dyDescent="0.25">
      <c r="A43" s="1">
        <v>42</v>
      </c>
      <c r="B43" s="163" t="e">
        <v>#N/A</v>
      </c>
      <c r="C43" s="29"/>
      <c r="D43" s="11"/>
      <c r="E43" s="49"/>
      <c r="F43" s="11"/>
      <c r="G43" s="136"/>
      <c r="H43" s="11"/>
      <c r="I43" s="17"/>
      <c r="J43" s="17" t="e">
        <v>#N/A</v>
      </c>
      <c r="K43" s="163" t="e">
        <f>VLOOKUP(C43,花名册!A:B,2)</f>
        <v>#N/A</v>
      </c>
    </row>
    <row r="44" spans="1:11" s="1" customFormat="1" ht="30" customHeight="1" x14ac:dyDescent="0.25">
      <c r="A44" s="1">
        <v>43</v>
      </c>
      <c r="B44" s="163" t="s">
        <v>3418</v>
      </c>
      <c r="C44" s="38" t="s">
        <v>89</v>
      </c>
      <c r="D44" s="19" t="s">
        <v>15</v>
      </c>
      <c r="E44" s="49" t="s">
        <v>85</v>
      </c>
      <c r="F44" s="49" t="s">
        <v>86</v>
      </c>
      <c r="G44" s="49"/>
      <c r="H44" s="49"/>
      <c r="I44" s="51">
        <v>46204</v>
      </c>
      <c r="J44" s="17" t="s">
        <v>88</v>
      </c>
      <c r="K44" s="163" t="str">
        <f>VLOOKUP(C44,花名册!A:B,2)</f>
        <v>JG910016</v>
      </c>
    </row>
    <row r="45" spans="1:11" s="1" customFormat="1" ht="30" customHeight="1" x14ac:dyDescent="0.25">
      <c r="A45" s="1">
        <v>44</v>
      </c>
      <c r="B45" s="163" t="e">
        <v>#N/A</v>
      </c>
      <c r="C45" s="52"/>
      <c r="D45" s="52"/>
      <c r="E45" s="11"/>
      <c r="F45" s="11"/>
      <c r="G45" s="136"/>
      <c r="H45" s="11"/>
      <c r="I45" s="17"/>
      <c r="J45" s="17" t="e">
        <v>#N/A</v>
      </c>
      <c r="K45" s="163" t="e">
        <f>VLOOKUP(C45,花名册!A:B,2)</f>
        <v>#N/A</v>
      </c>
    </row>
    <row r="46" spans="1:11" s="1" customFormat="1" ht="30" customHeight="1" x14ac:dyDescent="0.25">
      <c r="A46" s="1">
        <v>45</v>
      </c>
      <c r="B46" s="163" t="e">
        <v>#N/A</v>
      </c>
      <c r="C46" s="52"/>
      <c r="D46" s="52"/>
      <c r="E46" s="11"/>
      <c r="F46" s="11"/>
      <c r="G46" s="136"/>
      <c r="H46" s="11"/>
      <c r="I46" s="17"/>
      <c r="J46" s="17" t="e">
        <v>#N/A</v>
      </c>
      <c r="K46" s="163" t="e">
        <f>VLOOKUP(C46,花名册!A:B,2)</f>
        <v>#N/A</v>
      </c>
    </row>
    <row r="47" spans="1:11" s="1" customFormat="1" ht="30" customHeight="1" x14ac:dyDescent="0.25">
      <c r="A47" s="1">
        <v>46</v>
      </c>
      <c r="B47" s="163" t="e">
        <v>#N/A</v>
      </c>
      <c r="C47" s="52"/>
      <c r="D47" s="52"/>
      <c r="E47" s="11"/>
      <c r="F47" s="11"/>
      <c r="G47" s="136"/>
      <c r="H47" s="11"/>
      <c r="I47" s="17"/>
      <c r="J47" s="17" t="e">
        <v>#N/A</v>
      </c>
      <c r="K47" s="163" t="e">
        <f>VLOOKUP(C47,花名册!A:B,2)</f>
        <v>#N/A</v>
      </c>
    </row>
    <row r="48" spans="1:11" s="1" customFormat="1" ht="30" customHeight="1" x14ac:dyDescent="0.25">
      <c r="A48" s="1">
        <v>47</v>
      </c>
      <c r="B48" s="163" t="s">
        <v>2025</v>
      </c>
      <c r="C48" s="19" t="s">
        <v>91</v>
      </c>
      <c r="D48" s="19" t="s">
        <v>15</v>
      </c>
      <c r="E48" s="16" t="s">
        <v>92</v>
      </c>
      <c r="F48" s="19" t="s">
        <v>93</v>
      </c>
      <c r="G48" s="143"/>
      <c r="H48" s="19"/>
      <c r="I48" s="26">
        <v>45754</v>
      </c>
      <c r="J48" s="17" t="s">
        <v>90</v>
      </c>
      <c r="K48" s="163" t="str">
        <f>VLOOKUP(C48,花名册!A:B,2)</f>
        <v>JG002642</v>
      </c>
    </row>
    <row r="49" spans="1:11" s="1" customFormat="1" ht="30" customHeight="1" x14ac:dyDescent="0.25">
      <c r="A49" s="1">
        <v>48</v>
      </c>
      <c r="B49" s="163" t="s">
        <v>1232</v>
      </c>
      <c r="C49" s="15" t="s">
        <v>94</v>
      </c>
      <c r="D49" s="19" t="s">
        <v>15</v>
      </c>
      <c r="E49" s="16" t="s">
        <v>92</v>
      </c>
      <c r="F49" s="19" t="s">
        <v>93</v>
      </c>
      <c r="G49" s="143"/>
      <c r="H49" s="19"/>
      <c r="I49" s="26">
        <v>45828</v>
      </c>
      <c r="J49" s="17" t="s">
        <v>90</v>
      </c>
      <c r="K49" s="163" t="str">
        <f>VLOOKUP(C49,花名册!A:B,2)</f>
        <v>JG002762</v>
      </c>
    </row>
    <row r="50" spans="1:11" s="1" customFormat="1" ht="30" customHeight="1" x14ac:dyDescent="0.25">
      <c r="A50" s="1">
        <v>49</v>
      </c>
      <c r="B50" s="163" t="e">
        <v>#N/A</v>
      </c>
      <c r="C50" s="53"/>
      <c r="D50" s="43"/>
      <c r="E50" s="44"/>
      <c r="F50" s="43"/>
      <c r="G50" s="43"/>
      <c r="H50" s="43"/>
      <c r="I50" s="54"/>
      <c r="J50" s="17" t="e">
        <v>#N/A</v>
      </c>
      <c r="K50" s="163" t="e">
        <f>VLOOKUP(C50,花名册!A:B,2)</f>
        <v>#N/A</v>
      </c>
    </row>
    <row r="51" spans="1:11" s="1" customFormat="1" ht="30" customHeight="1" x14ac:dyDescent="0.25">
      <c r="A51" s="1">
        <v>50</v>
      </c>
      <c r="B51" s="163" t="s">
        <v>1512</v>
      </c>
      <c r="C51" s="56" t="s">
        <v>96</v>
      </c>
      <c r="D51" s="19" t="s">
        <v>15</v>
      </c>
      <c r="E51" s="16" t="s">
        <v>85</v>
      </c>
      <c r="F51" s="19" t="s">
        <v>86</v>
      </c>
      <c r="G51" s="143"/>
      <c r="H51" s="19"/>
      <c r="I51" s="17">
        <v>45292</v>
      </c>
      <c r="J51" s="17" t="s">
        <v>205</v>
      </c>
      <c r="K51" s="163" t="str">
        <f>VLOOKUP(C51,花名册!A:B,2)</f>
        <v>JG001535</v>
      </c>
    </row>
    <row r="52" spans="1:11" s="1" customFormat="1" ht="30" customHeight="1" x14ac:dyDescent="0.25">
      <c r="A52" s="1">
        <v>51</v>
      </c>
      <c r="B52" s="163" t="s">
        <v>2063</v>
      </c>
      <c r="C52" s="55" t="s">
        <v>97</v>
      </c>
      <c r="D52" s="19" t="s">
        <v>15</v>
      </c>
      <c r="E52" s="16" t="s">
        <v>85</v>
      </c>
      <c r="F52" s="19" t="s">
        <v>98</v>
      </c>
      <c r="G52" s="143"/>
      <c r="H52" s="19"/>
      <c r="I52" s="17"/>
      <c r="J52" s="17" t="s">
        <v>126</v>
      </c>
      <c r="K52" s="163" t="str">
        <f>VLOOKUP(C52,花名册!A:B,2)</f>
        <v>JG002740</v>
      </c>
    </row>
    <row r="53" spans="1:11" s="1" customFormat="1" ht="30" customHeight="1" x14ac:dyDescent="0.25">
      <c r="A53" s="1">
        <v>52</v>
      </c>
      <c r="B53" s="163" t="s">
        <v>2376</v>
      </c>
      <c r="C53" s="57" t="s">
        <v>100</v>
      </c>
      <c r="D53" s="19" t="s">
        <v>15</v>
      </c>
      <c r="E53" s="16" t="s">
        <v>92</v>
      </c>
      <c r="F53" s="15"/>
      <c r="G53" s="15"/>
      <c r="H53" s="15"/>
      <c r="I53" s="17">
        <v>45292</v>
      </c>
      <c r="J53" s="17" t="s">
        <v>117</v>
      </c>
      <c r="K53" s="163" t="str">
        <f>VLOOKUP(C53,花名册!A:B,2)</f>
        <v>JG003213</v>
      </c>
    </row>
    <row r="54" spans="1:11" s="1" customFormat="1" ht="30" customHeight="1" x14ac:dyDescent="0.25">
      <c r="A54" s="1">
        <v>53</v>
      </c>
      <c r="B54" s="163" t="s">
        <v>3418</v>
      </c>
      <c r="C54" s="58" t="s">
        <v>101</v>
      </c>
      <c r="D54" s="14" t="s">
        <v>15</v>
      </c>
      <c r="E54" s="59" t="s">
        <v>92</v>
      </c>
      <c r="F54" s="14" t="s">
        <v>102</v>
      </c>
      <c r="G54" s="137"/>
      <c r="H54" s="14"/>
      <c r="I54" s="17" t="s">
        <v>103</v>
      </c>
      <c r="J54" s="17" t="s">
        <v>88</v>
      </c>
      <c r="K54" s="163" t="str">
        <f>VLOOKUP(C54,花名册!A:B,2)</f>
        <v>JG910016</v>
      </c>
    </row>
    <row r="55" spans="1:11" s="1" customFormat="1" ht="30" customHeight="1" x14ac:dyDescent="0.25">
      <c r="A55" s="1">
        <v>54</v>
      </c>
      <c r="B55" s="163" t="s">
        <v>3420</v>
      </c>
      <c r="C55" s="19" t="s">
        <v>105</v>
      </c>
      <c r="D55" s="19" t="s">
        <v>15</v>
      </c>
      <c r="E55" s="16" t="s">
        <v>27</v>
      </c>
      <c r="F55" s="15"/>
      <c r="G55" s="15"/>
      <c r="H55" s="15"/>
      <c r="I55" s="17">
        <v>45292</v>
      </c>
      <c r="J55" s="17" t="s">
        <v>142</v>
      </c>
      <c r="K55" s="163" t="str">
        <f>VLOOKUP(C55,花名册!A:B,2)</f>
        <v>JG910018</v>
      </c>
    </row>
    <row r="56" spans="1:11" s="1" customFormat="1" ht="30" customHeight="1" x14ac:dyDescent="0.25">
      <c r="A56" s="1">
        <v>55</v>
      </c>
      <c r="B56" s="163" t="s">
        <v>2178</v>
      </c>
      <c r="C56" s="11" t="s">
        <v>106</v>
      </c>
      <c r="D56" s="19" t="s">
        <v>15</v>
      </c>
      <c r="E56" s="16" t="s">
        <v>27</v>
      </c>
      <c r="F56" s="15"/>
      <c r="G56" s="15"/>
      <c r="H56" s="15"/>
      <c r="I56" s="39">
        <v>45583</v>
      </c>
      <c r="J56" s="17" t="s">
        <v>510</v>
      </c>
      <c r="K56" s="163" t="str">
        <f>VLOOKUP(C56,花名册!A:B,2)</f>
        <v>JG003112</v>
      </c>
    </row>
    <row r="57" spans="1:11" s="1" customFormat="1" ht="30" customHeight="1" x14ac:dyDescent="0.25">
      <c r="A57" s="1">
        <v>56</v>
      </c>
      <c r="B57" s="163" t="s">
        <v>3417</v>
      </c>
      <c r="C57" s="29" t="s">
        <v>108</v>
      </c>
      <c r="D57" s="15" t="s">
        <v>15</v>
      </c>
      <c r="E57" s="31" t="s">
        <v>16</v>
      </c>
      <c r="F57" s="15" t="s">
        <v>34</v>
      </c>
      <c r="G57" s="15" t="s">
        <v>593</v>
      </c>
      <c r="H57" s="15" t="s">
        <v>593</v>
      </c>
      <c r="I57" s="39">
        <v>45544</v>
      </c>
      <c r="J57" s="17" t="s">
        <v>441</v>
      </c>
      <c r="K57" s="163" t="str">
        <f>VLOOKUP(C57,花名册!A:B,2)</f>
        <v>JG910015</v>
      </c>
    </row>
    <row r="58" spans="1:11" s="1" customFormat="1" ht="30" customHeight="1" x14ac:dyDescent="0.25">
      <c r="A58" s="1">
        <v>57</v>
      </c>
      <c r="B58" s="163" t="s">
        <v>3418</v>
      </c>
      <c r="C58" s="19" t="s">
        <v>110</v>
      </c>
      <c r="D58" s="19" t="s">
        <v>19</v>
      </c>
      <c r="E58" s="16" t="s">
        <v>16</v>
      </c>
      <c r="F58" s="19" t="s">
        <v>111</v>
      </c>
      <c r="G58" s="143" t="s">
        <v>111</v>
      </c>
      <c r="H58" s="19" t="s">
        <v>111</v>
      </c>
      <c r="I58" s="39">
        <v>45696</v>
      </c>
      <c r="J58" s="17" t="s">
        <v>88</v>
      </c>
      <c r="K58" s="163" t="str">
        <f>VLOOKUP(C58,花名册!A:B,2)</f>
        <v>JG910016</v>
      </c>
    </row>
    <row r="59" spans="1:11" s="1" customFormat="1" ht="30" customHeight="1" x14ac:dyDescent="0.25">
      <c r="A59" s="1">
        <v>58</v>
      </c>
      <c r="B59" s="163" t="s">
        <v>711</v>
      </c>
      <c r="C59" s="15" t="s">
        <v>113</v>
      </c>
      <c r="D59" s="61" t="s">
        <v>15</v>
      </c>
      <c r="E59" s="16" t="s">
        <v>114</v>
      </c>
      <c r="F59" s="15"/>
      <c r="G59" s="15"/>
      <c r="H59" s="15"/>
      <c r="I59" s="17">
        <v>45292</v>
      </c>
      <c r="J59" s="17" t="s">
        <v>306</v>
      </c>
      <c r="K59" s="163" t="str">
        <f>VLOOKUP(C59,花名册!A:B,2)</f>
        <v>JG000594</v>
      </c>
    </row>
    <row r="60" spans="1:11" s="1" customFormat="1" ht="30" customHeight="1" x14ac:dyDescent="0.25">
      <c r="A60" s="1">
        <v>59</v>
      </c>
      <c r="B60" s="163" t="s">
        <v>2504</v>
      </c>
      <c r="C60" s="19" t="s">
        <v>115</v>
      </c>
      <c r="D60" s="19" t="s">
        <v>15</v>
      </c>
      <c r="E60" s="16" t="s">
        <v>16</v>
      </c>
      <c r="F60" s="19"/>
      <c r="G60" s="143"/>
      <c r="H60" s="19"/>
      <c r="I60" s="39">
        <v>46104</v>
      </c>
      <c r="J60" s="17" t="s">
        <v>112</v>
      </c>
      <c r="K60" s="163" t="str">
        <f>VLOOKUP(C60,花名册!A:B,2)</f>
        <v>JG003069</v>
      </c>
    </row>
    <row r="61" spans="1:11" s="1" customFormat="1" ht="30" customHeight="1" x14ac:dyDescent="0.25">
      <c r="A61" s="1">
        <v>60</v>
      </c>
      <c r="B61" s="163" t="s">
        <v>2376</v>
      </c>
      <c r="C61" s="62" t="s">
        <v>118</v>
      </c>
      <c r="D61" s="63" t="s">
        <v>15</v>
      </c>
      <c r="E61" s="64" t="s">
        <v>16</v>
      </c>
      <c r="F61" s="65" t="s">
        <v>119</v>
      </c>
      <c r="G61" s="65"/>
      <c r="H61" s="65"/>
      <c r="I61" s="32">
        <v>46188</v>
      </c>
      <c r="J61" s="17" t="s">
        <v>117</v>
      </c>
      <c r="K61" s="163" t="str">
        <f>VLOOKUP(C61,花名册!A:B,2)</f>
        <v>JG003213</v>
      </c>
    </row>
    <row r="62" spans="1:11" s="1" customFormat="1" ht="30" customHeight="1" x14ac:dyDescent="0.25">
      <c r="A62" s="1">
        <v>61</v>
      </c>
      <c r="B62" s="163" t="s">
        <v>771</v>
      </c>
      <c r="C62" s="63" t="s">
        <v>121</v>
      </c>
      <c r="D62" s="15" t="s">
        <v>15</v>
      </c>
      <c r="E62" s="21" t="s">
        <v>16</v>
      </c>
      <c r="F62" s="15" t="s">
        <v>71</v>
      </c>
      <c r="G62" s="15"/>
      <c r="H62" s="15"/>
      <c r="I62" s="26">
        <v>45838</v>
      </c>
      <c r="J62" s="17" t="s">
        <v>185</v>
      </c>
      <c r="K62" s="163" t="str">
        <f>VLOOKUP(C62,花名册!A:B,2)</f>
        <v>JG000053</v>
      </c>
    </row>
    <row r="63" spans="1:11" s="1" customFormat="1" ht="30" customHeight="1" x14ac:dyDescent="0.25">
      <c r="A63" s="1">
        <v>62</v>
      </c>
      <c r="B63" s="163" t="s">
        <v>1864</v>
      </c>
      <c r="C63" s="30" t="s">
        <v>123</v>
      </c>
      <c r="D63" s="15" t="s">
        <v>15</v>
      </c>
      <c r="E63" s="31" t="s">
        <v>85</v>
      </c>
      <c r="F63" s="15" t="s">
        <v>86</v>
      </c>
      <c r="G63" s="15"/>
      <c r="H63" s="15"/>
      <c r="I63" s="66">
        <v>46199</v>
      </c>
      <c r="J63" s="17" t="s">
        <v>510</v>
      </c>
      <c r="K63" s="163" t="str">
        <f>VLOOKUP(C63,花名册!A:B,2)</f>
        <v>JG003086</v>
      </c>
    </row>
    <row r="64" spans="1:11" s="1" customFormat="1" ht="30" customHeight="1" x14ac:dyDescent="0.25">
      <c r="A64" s="1">
        <v>63</v>
      </c>
      <c r="B64" s="163" t="s">
        <v>3418</v>
      </c>
      <c r="C64" s="19" t="s">
        <v>125</v>
      </c>
      <c r="D64" s="19" t="s">
        <v>15</v>
      </c>
      <c r="E64" s="16" t="s">
        <v>27</v>
      </c>
      <c r="F64" s="15"/>
      <c r="G64" s="15"/>
      <c r="H64" s="15"/>
      <c r="I64" s="17">
        <v>45292</v>
      </c>
      <c r="J64" s="17" t="s">
        <v>88</v>
      </c>
      <c r="K64" s="163" t="str">
        <f>VLOOKUP(C64,花名册!A:B,2)</f>
        <v>JG910016</v>
      </c>
    </row>
    <row r="65" spans="1:11" s="1" customFormat="1" ht="30" customHeight="1" x14ac:dyDescent="0.25">
      <c r="A65" s="1">
        <v>64</v>
      </c>
      <c r="B65" s="163" t="s">
        <v>3420</v>
      </c>
      <c r="C65" s="67" t="s">
        <v>127</v>
      </c>
      <c r="D65" s="68" t="s">
        <v>15</v>
      </c>
      <c r="E65" s="16" t="s">
        <v>16</v>
      </c>
      <c r="F65" s="67" t="s">
        <v>22</v>
      </c>
      <c r="G65" s="150" t="s">
        <v>591</v>
      </c>
      <c r="H65" s="150" t="s">
        <v>591</v>
      </c>
      <c r="I65" s="26">
        <v>45757</v>
      </c>
      <c r="J65" s="17" t="s">
        <v>142</v>
      </c>
      <c r="K65" s="163" t="str">
        <f>VLOOKUP(C65,花名册!A:B,2)</f>
        <v>JG910018</v>
      </c>
    </row>
    <row r="66" spans="1:11" s="1" customFormat="1" ht="30" customHeight="1" x14ac:dyDescent="0.25">
      <c r="A66" s="1">
        <v>65</v>
      </c>
      <c r="B66" s="163" t="e">
        <v>#N/A</v>
      </c>
      <c r="C66" s="67" t="s">
        <v>128</v>
      </c>
      <c r="D66" s="19" t="s">
        <v>19</v>
      </c>
      <c r="E66" s="21" t="s">
        <v>16</v>
      </c>
      <c r="F66" s="67" t="s">
        <v>129</v>
      </c>
      <c r="G66" s="150" t="s">
        <v>589</v>
      </c>
      <c r="H66" s="150" t="s">
        <v>589</v>
      </c>
      <c r="I66" s="26">
        <v>45757</v>
      </c>
      <c r="J66" s="17" t="e">
        <v>#N/A</v>
      </c>
      <c r="K66" s="163" t="e">
        <f>VLOOKUP(C66,花名册!A:B,2)</f>
        <v>#N/A</v>
      </c>
    </row>
    <row r="67" spans="1:11" s="1" customFormat="1" ht="30" customHeight="1" x14ac:dyDescent="0.25">
      <c r="A67" s="1">
        <v>66</v>
      </c>
      <c r="B67" s="163" t="s">
        <v>3420</v>
      </c>
      <c r="C67" s="21" t="s">
        <v>131</v>
      </c>
      <c r="D67" s="21" t="s">
        <v>15</v>
      </c>
      <c r="E67" s="21" t="s">
        <v>16</v>
      </c>
      <c r="F67" s="15" t="s">
        <v>17</v>
      </c>
      <c r="G67" s="149" t="s">
        <v>588</v>
      </c>
      <c r="H67" s="149" t="s">
        <v>588</v>
      </c>
      <c r="I67" s="26">
        <v>45609</v>
      </c>
      <c r="J67" s="17" t="s">
        <v>142</v>
      </c>
      <c r="K67" s="163" t="str">
        <f>VLOOKUP(C67,花名册!A:B,2)</f>
        <v>JG910018</v>
      </c>
    </row>
    <row r="68" spans="1:11" s="1" customFormat="1" ht="30" customHeight="1" x14ac:dyDescent="0.25">
      <c r="A68" s="1">
        <v>67</v>
      </c>
      <c r="B68" s="163" t="s">
        <v>3418</v>
      </c>
      <c r="C68" s="21" t="s">
        <v>132</v>
      </c>
      <c r="D68" s="21" t="s">
        <v>19</v>
      </c>
      <c r="E68" s="21" t="s">
        <v>16</v>
      </c>
      <c r="F68" s="15" t="s">
        <v>17</v>
      </c>
      <c r="G68" s="149" t="s">
        <v>588</v>
      </c>
      <c r="H68" s="149" t="s">
        <v>588</v>
      </c>
      <c r="I68" s="26">
        <v>45609</v>
      </c>
      <c r="J68" s="17" t="s">
        <v>88</v>
      </c>
      <c r="K68" s="163" t="str">
        <f>VLOOKUP(C68,花名册!A:B,2)</f>
        <v>JG910016</v>
      </c>
    </row>
    <row r="69" spans="1:11" s="1" customFormat="1" ht="30" customHeight="1" x14ac:dyDescent="0.25">
      <c r="A69" s="1">
        <v>68</v>
      </c>
      <c r="B69" s="163" t="s">
        <v>808</v>
      </c>
      <c r="C69" s="67" t="s">
        <v>134</v>
      </c>
      <c r="D69" s="68" t="s">
        <v>19</v>
      </c>
      <c r="E69" s="16" t="s">
        <v>64</v>
      </c>
      <c r="F69" s="68"/>
      <c r="G69" s="68"/>
      <c r="H69" s="68"/>
      <c r="I69" s="26">
        <v>45731</v>
      </c>
      <c r="J69" s="17" t="s">
        <v>133</v>
      </c>
      <c r="K69" s="163" t="str">
        <f>VLOOKUP(C69,花名册!A:B,2)</f>
        <v>JG002597</v>
      </c>
    </row>
    <row r="70" spans="1:11" s="1" customFormat="1" ht="30" customHeight="1" x14ac:dyDescent="0.25">
      <c r="A70" s="1">
        <v>69</v>
      </c>
      <c r="B70" s="163" t="s">
        <v>711</v>
      </c>
      <c r="C70" s="67" t="s">
        <v>135</v>
      </c>
      <c r="D70" s="68" t="s">
        <v>15</v>
      </c>
      <c r="E70" s="16" t="s">
        <v>16</v>
      </c>
      <c r="F70" s="68" t="s">
        <v>74</v>
      </c>
      <c r="G70" s="68"/>
      <c r="H70" s="68"/>
      <c r="I70" s="26">
        <v>45731</v>
      </c>
      <c r="J70" s="17" t="s">
        <v>306</v>
      </c>
      <c r="K70" s="163" t="str">
        <f>VLOOKUP(C70,花名册!A:B,2)</f>
        <v>JG000594</v>
      </c>
    </row>
    <row r="71" spans="1:11" s="1" customFormat="1" ht="30" customHeight="1" x14ac:dyDescent="0.25">
      <c r="A71" s="1">
        <v>70</v>
      </c>
      <c r="B71" s="163" t="s">
        <v>2096</v>
      </c>
      <c r="C71" s="21" t="s">
        <v>137</v>
      </c>
      <c r="D71" s="28" t="s">
        <v>15</v>
      </c>
      <c r="E71" s="20" t="s">
        <v>16</v>
      </c>
      <c r="F71" s="20" t="s">
        <v>74</v>
      </c>
      <c r="G71" s="145"/>
      <c r="H71" s="20"/>
      <c r="I71" s="70">
        <v>45941</v>
      </c>
      <c r="J71" s="17" t="s">
        <v>136</v>
      </c>
      <c r="K71" s="163" t="str">
        <f>VLOOKUP(C71,花名册!A:B,2)</f>
        <v>JG002902</v>
      </c>
    </row>
    <row r="72" spans="1:11" s="1" customFormat="1" ht="30" customHeight="1" x14ac:dyDescent="0.25">
      <c r="A72" s="1">
        <v>71</v>
      </c>
      <c r="B72" s="163" t="s">
        <v>1303</v>
      </c>
      <c r="C72" s="20" t="s">
        <v>138</v>
      </c>
      <c r="D72" s="28" t="s">
        <v>15</v>
      </c>
      <c r="E72" s="20" t="s">
        <v>16</v>
      </c>
      <c r="F72" s="20" t="s">
        <v>74</v>
      </c>
      <c r="G72" s="145"/>
      <c r="H72" s="20"/>
      <c r="I72" s="22">
        <v>45793</v>
      </c>
      <c r="J72" s="17" t="s">
        <v>136</v>
      </c>
      <c r="K72" s="163" t="str">
        <f>VLOOKUP(C72,花名册!A:B,2)</f>
        <v>JG000302</v>
      </c>
    </row>
    <row r="73" spans="1:11" s="1" customFormat="1" ht="30" customHeight="1" x14ac:dyDescent="0.25">
      <c r="A73" s="1">
        <v>72</v>
      </c>
      <c r="B73" s="163" t="s">
        <v>3418</v>
      </c>
      <c r="C73" s="37" t="s">
        <v>140</v>
      </c>
      <c r="D73" s="47" t="s">
        <v>15</v>
      </c>
      <c r="E73" s="71" t="s">
        <v>92</v>
      </c>
      <c r="F73" s="37"/>
      <c r="G73" s="140"/>
      <c r="H73" s="37"/>
      <c r="I73" s="72">
        <v>45575</v>
      </c>
      <c r="J73" s="17" t="s">
        <v>88</v>
      </c>
      <c r="K73" s="163" t="str">
        <f>VLOOKUP(C73,花名册!A:B,2)</f>
        <v>JG910016</v>
      </c>
    </row>
    <row r="74" spans="1:11" s="1" customFormat="1" ht="30" customHeight="1" x14ac:dyDescent="0.25">
      <c r="A74" s="1">
        <v>73</v>
      </c>
      <c r="B74" s="163" t="s">
        <v>3420</v>
      </c>
      <c r="C74" s="11" t="s">
        <v>141</v>
      </c>
      <c r="D74" s="19" t="s">
        <v>15</v>
      </c>
      <c r="E74" s="31" t="s">
        <v>92</v>
      </c>
      <c r="F74" s="15"/>
      <c r="G74" s="15"/>
      <c r="H74" s="15"/>
      <c r="I74" s="26">
        <v>45712</v>
      </c>
      <c r="J74" s="17" t="s">
        <v>142</v>
      </c>
      <c r="K74" s="163" t="str">
        <f>VLOOKUP(C74,花名册!A:B,2)</f>
        <v>JG910018</v>
      </c>
    </row>
    <row r="75" spans="1:11" s="1" customFormat="1" ht="30" customHeight="1" x14ac:dyDescent="0.25">
      <c r="A75" s="1">
        <v>74</v>
      </c>
      <c r="B75" s="163" t="s">
        <v>1387</v>
      </c>
      <c r="C75" s="19" t="s">
        <v>143</v>
      </c>
      <c r="D75" s="15" t="s">
        <v>19</v>
      </c>
      <c r="E75" s="73" t="s">
        <v>64</v>
      </c>
      <c r="F75" s="21" t="s">
        <v>144</v>
      </c>
      <c r="G75" s="21"/>
      <c r="H75" s="21"/>
      <c r="I75" s="39">
        <v>46154</v>
      </c>
      <c r="J75" s="17" t="s">
        <v>331</v>
      </c>
      <c r="K75" s="163" t="str">
        <f>VLOOKUP(C75,花名册!A:B,2)</f>
        <v>JG002116</v>
      </c>
    </row>
    <row r="76" spans="1:11" s="1" customFormat="1" ht="30" customHeight="1" x14ac:dyDescent="0.25">
      <c r="A76" s="1">
        <v>75</v>
      </c>
      <c r="B76" s="163" t="s">
        <v>3420</v>
      </c>
      <c r="C76" s="30" t="s">
        <v>145</v>
      </c>
      <c r="D76" s="15" t="s">
        <v>19</v>
      </c>
      <c r="E76" s="31" t="s">
        <v>85</v>
      </c>
      <c r="F76" s="15" t="s">
        <v>86</v>
      </c>
      <c r="G76" s="15"/>
      <c r="H76" s="15"/>
      <c r="I76" s="66">
        <v>46204</v>
      </c>
      <c r="J76" s="17" t="s">
        <v>142</v>
      </c>
      <c r="K76" s="163" t="str">
        <f>VLOOKUP(C76,花名册!A:B,2)</f>
        <v>JG910018</v>
      </c>
    </row>
    <row r="77" spans="1:11" s="1" customFormat="1" ht="30" customHeight="1" x14ac:dyDescent="0.25">
      <c r="A77" s="1">
        <v>76</v>
      </c>
      <c r="B77" s="163" t="s">
        <v>3420</v>
      </c>
      <c r="C77" s="52" t="s">
        <v>147</v>
      </c>
      <c r="D77" s="15" t="s">
        <v>15</v>
      </c>
      <c r="E77" s="73" t="s">
        <v>64</v>
      </c>
      <c r="F77" s="63"/>
      <c r="G77" s="63"/>
      <c r="H77" s="63"/>
      <c r="I77" s="52" t="s">
        <v>148</v>
      </c>
      <c r="J77" s="17" t="s">
        <v>142</v>
      </c>
      <c r="K77" s="163" t="str">
        <f>VLOOKUP(C77,花名册!A:B,2)</f>
        <v>JG910018</v>
      </c>
    </row>
    <row r="78" spans="1:11" s="1" customFormat="1" ht="30" customHeight="1" x14ac:dyDescent="0.25">
      <c r="A78" s="1">
        <v>77</v>
      </c>
      <c r="B78" s="163" t="s">
        <v>3420</v>
      </c>
      <c r="C78" s="63" t="s">
        <v>149</v>
      </c>
      <c r="D78" s="15" t="s">
        <v>15</v>
      </c>
      <c r="E78" s="73" t="s">
        <v>64</v>
      </c>
      <c r="F78" s="63"/>
      <c r="G78" s="63"/>
      <c r="H78" s="63"/>
      <c r="I78" s="32">
        <v>45118</v>
      </c>
      <c r="J78" s="17" t="s">
        <v>142</v>
      </c>
      <c r="K78" s="163" t="str">
        <f>VLOOKUP(C78,花名册!A:B,2)</f>
        <v>JG910018</v>
      </c>
    </row>
    <row r="79" spans="1:11" s="1" customFormat="1" ht="30" customHeight="1" x14ac:dyDescent="0.25">
      <c r="A79" s="1">
        <v>78</v>
      </c>
      <c r="B79" s="163" t="e">
        <v>#N/A</v>
      </c>
      <c r="C79" s="15"/>
      <c r="D79" s="15"/>
      <c r="E79" s="73"/>
      <c r="F79" s="63"/>
      <c r="G79" s="63"/>
      <c r="H79" s="63"/>
      <c r="I79" s="26"/>
      <c r="J79" s="17" t="e">
        <v>#N/A</v>
      </c>
      <c r="K79" s="163" t="e">
        <f>VLOOKUP(C79,花名册!A:B,2)</f>
        <v>#N/A</v>
      </c>
    </row>
    <row r="80" spans="1:11" s="1" customFormat="1" ht="30" customHeight="1" x14ac:dyDescent="0.25">
      <c r="A80" s="1">
        <v>79</v>
      </c>
      <c r="B80" s="163" t="s">
        <v>3419</v>
      </c>
      <c r="C80" s="75" t="s">
        <v>152</v>
      </c>
      <c r="D80" s="19" t="s">
        <v>15</v>
      </c>
      <c r="E80" s="16" t="s">
        <v>16</v>
      </c>
      <c r="F80" s="19" t="s">
        <v>74</v>
      </c>
      <c r="G80" s="143"/>
      <c r="H80" s="19"/>
      <c r="I80" s="17">
        <v>44610</v>
      </c>
      <c r="J80" s="17" t="s">
        <v>426</v>
      </c>
      <c r="K80" s="163" t="str">
        <f>VLOOKUP(C80,花名册!A:B,2)</f>
        <v>JG910017</v>
      </c>
    </row>
    <row r="81" spans="1:11" s="1" customFormat="1" ht="30" customHeight="1" x14ac:dyDescent="0.25">
      <c r="A81" s="1">
        <v>80</v>
      </c>
      <c r="B81" s="163" t="s">
        <v>3419</v>
      </c>
      <c r="C81" s="75" t="s">
        <v>153</v>
      </c>
      <c r="D81" s="15" t="s">
        <v>15</v>
      </c>
      <c r="E81" s="31" t="s">
        <v>16</v>
      </c>
      <c r="F81" s="15"/>
      <c r="G81" s="15"/>
      <c r="H81" s="15"/>
      <c r="I81" s="17">
        <v>44971</v>
      </c>
      <c r="J81" s="17" t="s">
        <v>426</v>
      </c>
      <c r="K81" s="163" t="str">
        <f>VLOOKUP(C81,花名册!A:B,2)</f>
        <v>JG910017</v>
      </c>
    </row>
    <row r="82" spans="1:11" s="1" customFormat="1" ht="30" customHeight="1" x14ac:dyDescent="0.25">
      <c r="A82" s="1">
        <v>81</v>
      </c>
      <c r="B82" s="163" t="e">
        <v>#N/A</v>
      </c>
      <c r="C82" s="76"/>
      <c r="D82" s="43"/>
      <c r="E82" s="27"/>
      <c r="F82" s="43"/>
      <c r="G82" s="43"/>
      <c r="H82" s="43"/>
      <c r="I82" s="45"/>
      <c r="J82" s="17" t="e">
        <v>#N/A</v>
      </c>
      <c r="K82" s="163" t="e">
        <f>VLOOKUP(C82,花名册!A:B,2)</f>
        <v>#N/A</v>
      </c>
    </row>
    <row r="83" spans="1:11" s="1" customFormat="1" ht="30" customHeight="1" x14ac:dyDescent="0.25">
      <c r="A83" s="1">
        <v>82</v>
      </c>
      <c r="B83" s="163" t="e">
        <v>#N/A</v>
      </c>
      <c r="C83" s="77"/>
      <c r="D83" s="15"/>
      <c r="E83" s="73"/>
      <c r="F83" s="15"/>
      <c r="G83" s="15"/>
      <c r="H83" s="15"/>
      <c r="I83" s="32"/>
      <c r="J83" s="17" t="e">
        <v>#N/A</v>
      </c>
      <c r="K83" s="163" t="e">
        <f>VLOOKUP(C83,花名册!A:B,2)</f>
        <v>#N/A</v>
      </c>
    </row>
    <row r="84" spans="1:11" s="1" customFormat="1" ht="30" customHeight="1" x14ac:dyDescent="0.25">
      <c r="A84" s="1">
        <v>83</v>
      </c>
      <c r="B84" s="163" t="s">
        <v>1584</v>
      </c>
      <c r="C84" s="19" t="s">
        <v>155</v>
      </c>
      <c r="D84" s="19" t="s">
        <v>15</v>
      </c>
      <c r="E84" s="16" t="s">
        <v>16</v>
      </c>
      <c r="F84" s="19" t="s">
        <v>71</v>
      </c>
      <c r="G84" s="143"/>
      <c r="H84" s="19"/>
      <c r="I84" s="17">
        <v>44784</v>
      </c>
      <c r="J84" s="17" t="s">
        <v>154</v>
      </c>
      <c r="K84" s="163" t="str">
        <f>VLOOKUP(C84,花名册!A:B,2)</f>
        <v>JG001020</v>
      </c>
    </row>
    <row r="85" spans="1:11" s="1" customFormat="1" ht="30" customHeight="1" x14ac:dyDescent="0.25">
      <c r="A85" s="1">
        <v>84</v>
      </c>
      <c r="B85" s="163" t="s">
        <v>1222</v>
      </c>
      <c r="C85" s="19" t="s">
        <v>156</v>
      </c>
      <c r="D85" s="19" t="s">
        <v>15</v>
      </c>
      <c r="E85" s="16" t="s">
        <v>27</v>
      </c>
      <c r="F85" s="15"/>
      <c r="G85" s="15"/>
      <c r="H85" s="15"/>
      <c r="I85" s="17">
        <v>44684</v>
      </c>
      <c r="J85" s="17" t="s">
        <v>551</v>
      </c>
      <c r="K85" s="163" t="str">
        <f>VLOOKUP(C85,花名册!A:B,2)</f>
        <v>JG002137</v>
      </c>
    </row>
    <row r="86" spans="1:11" s="1" customFormat="1" ht="30" customHeight="1" x14ac:dyDescent="0.25">
      <c r="A86" s="1">
        <v>85</v>
      </c>
      <c r="B86" s="163" t="s">
        <v>1284</v>
      </c>
      <c r="C86" s="42" t="s">
        <v>157</v>
      </c>
      <c r="D86" s="42" t="s">
        <v>15</v>
      </c>
      <c r="E86" s="41"/>
      <c r="F86" s="78" t="s">
        <v>158</v>
      </c>
      <c r="G86" s="78"/>
      <c r="H86" s="78"/>
      <c r="I86" s="79">
        <v>45472</v>
      </c>
      <c r="J86" s="17" t="s">
        <v>451</v>
      </c>
      <c r="K86" s="163" t="str">
        <f>VLOOKUP(C86,花名册!A:B,2)</f>
        <v>JG002745</v>
      </c>
    </row>
    <row r="87" spans="1:11" s="1" customFormat="1" ht="30" customHeight="1" x14ac:dyDescent="0.25">
      <c r="A87" s="1">
        <v>86</v>
      </c>
      <c r="B87" s="163" t="e">
        <v>#N/A</v>
      </c>
      <c r="C87" s="43"/>
      <c r="D87" s="43"/>
      <c r="E87" s="44"/>
      <c r="F87" s="43"/>
      <c r="G87" s="43"/>
      <c r="H87" s="43"/>
      <c r="I87" s="17"/>
      <c r="J87" s="17" t="e">
        <v>#N/A</v>
      </c>
      <c r="K87" s="163" t="e">
        <f>VLOOKUP(C87,花名册!A:B,2)</f>
        <v>#N/A</v>
      </c>
    </row>
    <row r="88" spans="1:11" s="1" customFormat="1" ht="30" customHeight="1" x14ac:dyDescent="0.25">
      <c r="A88" s="1">
        <v>87</v>
      </c>
      <c r="B88" s="163" t="s">
        <v>3419</v>
      </c>
      <c r="C88" s="80" t="s">
        <v>160</v>
      </c>
      <c r="D88" s="63" t="s">
        <v>15</v>
      </c>
      <c r="E88" s="64" t="s">
        <v>16</v>
      </c>
      <c r="F88" s="73" t="s">
        <v>161</v>
      </c>
      <c r="G88" s="73"/>
      <c r="H88" s="73"/>
      <c r="I88" s="32">
        <v>46204</v>
      </c>
      <c r="J88" s="17" t="s">
        <v>426</v>
      </c>
      <c r="K88" s="163" t="str">
        <f>VLOOKUP(C88,花名册!A:B,2)</f>
        <v>JG910017</v>
      </c>
    </row>
    <row r="89" spans="1:11" s="1" customFormat="1" ht="30" customHeight="1" x14ac:dyDescent="0.25">
      <c r="A89" s="1">
        <v>88</v>
      </c>
      <c r="B89" s="163" t="s">
        <v>1480</v>
      </c>
      <c r="C89" s="11" t="s">
        <v>162</v>
      </c>
      <c r="D89" s="28" t="s">
        <v>15</v>
      </c>
      <c r="E89" s="11" t="s">
        <v>16</v>
      </c>
      <c r="F89" s="11" t="s">
        <v>74</v>
      </c>
      <c r="G89" s="136"/>
      <c r="H89" s="11"/>
      <c r="I89" s="26">
        <v>45538</v>
      </c>
      <c r="J89" s="17" t="s">
        <v>159</v>
      </c>
      <c r="K89" s="163" t="str">
        <f>VLOOKUP(C89,花名册!A:B,2)</f>
        <v>JG001943</v>
      </c>
    </row>
    <row r="90" spans="1:11" s="1" customFormat="1" ht="30" customHeight="1" x14ac:dyDescent="0.25">
      <c r="A90" s="1">
        <v>89</v>
      </c>
      <c r="B90" s="163" t="s">
        <v>2308</v>
      </c>
      <c r="C90" s="27" t="s">
        <v>163</v>
      </c>
      <c r="D90" s="28" t="s">
        <v>15</v>
      </c>
      <c r="E90" s="20" t="s">
        <v>16</v>
      </c>
      <c r="F90" s="20" t="s">
        <v>74</v>
      </c>
      <c r="G90" s="145"/>
      <c r="H90" s="20"/>
      <c r="I90" s="22">
        <v>46140</v>
      </c>
      <c r="J90" s="17" t="s">
        <v>159</v>
      </c>
      <c r="K90" s="163" t="str">
        <f>VLOOKUP(C90,花名册!A:B,2)</f>
        <v>JG003134</v>
      </c>
    </row>
    <row r="91" spans="1:11" s="1" customFormat="1" ht="30" customHeight="1" x14ac:dyDescent="0.25">
      <c r="A91" s="1">
        <v>90</v>
      </c>
      <c r="B91" s="163" t="e">
        <v>#N/A</v>
      </c>
      <c r="C91" s="27"/>
      <c r="D91" s="62"/>
      <c r="E91" s="23"/>
      <c r="F91" s="27"/>
      <c r="G91" s="27"/>
      <c r="H91" s="27"/>
      <c r="I91" s="45"/>
      <c r="J91" s="17" t="e">
        <v>#N/A</v>
      </c>
      <c r="K91" s="163" t="e">
        <f>VLOOKUP(C91,花名册!A:B,2)</f>
        <v>#N/A</v>
      </c>
    </row>
    <row r="92" spans="1:11" s="1" customFormat="1" ht="30" customHeight="1" x14ac:dyDescent="0.25">
      <c r="A92" s="1">
        <v>91</v>
      </c>
      <c r="B92" s="163" t="s">
        <v>1347</v>
      </c>
      <c r="C92" s="15" t="s">
        <v>166</v>
      </c>
      <c r="D92" s="19" t="s">
        <v>15</v>
      </c>
      <c r="E92" s="16" t="s">
        <v>16</v>
      </c>
      <c r="F92" s="15" t="s">
        <v>74</v>
      </c>
      <c r="G92" s="15"/>
      <c r="H92" s="15"/>
      <c r="I92" s="17">
        <v>42156</v>
      </c>
      <c r="J92" s="17" t="s">
        <v>165</v>
      </c>
      <c r="K92" s="163" t="str">
        <f>VLOOKUP(C92,花名册!A:B,2)</f>
        <v>JG000042</v>
      </c>
    </row>
    <row r="93" spans="1:11" s="1" customFormat="1" ht="30" customHeight="1" x14ac:dyDescent="0.25">
      <c r="A93" s="1">
        <v>92</v>
      </c>
      <c r="B93" s="163" t="s">
        <v>2105</v>
      </c>
      <c r="C93" s="15" t="s">
        <v>167</v>
      </c>
      <c r="D93" s="28" t="s">
        <v>15</v>
      </c>
      <c r="E93" s="21" t="s">
        <v>16</v>
      </c>
      <c r="F93" s="81" t="s">
        <v>168</v>
      </c>
      <c r="G93" s="81"/>
      <c r="H93" s="81"/>
      <c r="I93" s="81" t="s">
        <v>169</v>
      </c>
      <c r="J93" s="17" t="s">
        <v>165</v>
      </c>
      <c r="K93" s="163" t="str">
        <f>VLOOKUP(C93,花名册!A:B,2)</f>
        <v>JG000121</v>
      </c>
    </row>
    <row r="94" spans="1:11" s="1" customFormat="1" ht="30" customHeight="1" x14ac:dyDescent="0.25">
      <c r="A94" s="1">
        <v>93</v>
      </c>
      <c r="B94" s="163" t="e">
        <v>#N/A</v>
      </c>
      <c r="C94" s="15"/>
      <c r="D94" s="15"/>
      <c r="E94" s="31"/>
      <c r="F94" s="15"/>
      <c r="G94" s="15"/>
      <c r="H94" s="15"/>
      <c r="I94" s="17"/>
      <c r="J94" s="17" t="e">
        <v>#N/A</v>
      </c>
      <c r="K94" s="163" t="e">
        <f>VLOOKUP(C94,花名册!A:B,2)</f>
        <v>#N/A</v>
      </c>
    </row>
    <row r="95" spans="1:11" s="1" customFormat="1" ht="30" customHeight="1" x14ac:dyDescent="0.25">
      <c r="A95" s="1">
        <v>94</v>
      </c>
      <c r="B95" s="163" t="e">
        <v>#N/A</v>
      </c>
      <c r="C95" s="15"/>
      <c r="D95" s="15"/>
      <c r="E95" s="31"/>
      <c r="F95" s="15"/>
      <c r="G95" s="15"/>
      <c r="H95" s="15"/>
      <c r="I95" s="17"/>
      <c r="J95" s="17" t="e">
        <v>#N/A</v>
      </c>
      <c r="K95" s="163" t="e">
        <f>VLOOKUP(C95,花名册!A:B,2)</f>
        <v>#N/A</v>
      </c>
    </row>
    <row r="96" spans="1:11" s="1" customFormat="1" ht="30" customHeight="1" x14ac:dyDescent="0.25">
      <c r="A96" s="1">
        <v>95</v>
      </c>
      <c r="B96" s="163" t="s">
        <v>3418</v>
      </c>
      <c r="C96" s="11" t="s">
        <v>171</v>
      </c>
      <c r="D96" s="19" t="s">
        <v>19</v>
      </c>
      <c r="E96" s="21" t="s">
        <v>64</v>
      </c>
      <c r="F96" s="19"/>
      <c r="G96" s="143"/>
      <c r="H96" s="19"/>
      <c r="I96" s="26">
        <v>46105</v>
      </c>
      <c r="J96" s="17" t="s">
        <v>88</v>
      </c>
      <c r="K96" s="163" t="str">
        <f>VLOOKUP(C96,花名册!A:B,2)</f>
        <v>JG910016</v>
      </c>
    </row>
    <row r="97" spans="1:11" s="1" customFormat="1" ht="30" customHeight="1" x14ac:dyDescent="0.25">
      <c r="A97" s="1">
        <v>96</v>
      </c>
      <c r="B97" s="163" t="s">
        <v>1776</v>
      </c>
      <c r="C97" s="61" t="s">
        <v>172</v>
      </c>
      <c r="D97" s="15" t="s">
        <v>19</v>
      </c>
      <c r="E97" s="73" t="s">
        <v>64</v>
      </c>
      <c r="F97" s="32" t="s">
        <v>173</v>
      </c>
      <c r="G97" s="32"/>
      <c r="H97" s="32"/>
      <c r="I97" s="32">
        <v>45370</v>
      </c>
      <c r="J97" s="17" t="s">
        <v>474</v>
      </c>
      <c r="K97" s="163" t="str">
        <f>VLOOKUP(C97,花名册!A:B,2)</f>
        <v>JG001859</v>
      </c>
    </row>
    <row r="98" spans="1:11" s="1" customFormat="1" ht="30" customHeight="1" x14ac:dyDescent="0.25">
      <c r="A98" s="1">
        <v>97</v>
      </c>
      <c r="B98" s="163" t="s">
        <v>1427</v>
      </c>
      <c r="C98" s="16" t="s">
        <v>174</v>
      </c>
      <c r="D98" s="16" t="s">
        <v>19</v>
      </c>
      <c r="E98" s="16" t="s">
        <v>64</v>
      </c>
      <c r="F98" s="16"/>
      <c r="G98" s="16"/>
      <c r="H98" s="16"/>
      <c r="I98" s="26">
        <v>45769</v>
      </c>
      <c r="J98" s="17" t="s">
        <v>510</v>
      </c>
      <c r="K98" s="163" t="str">
        <f>VLOOKUP(C98,花名册!A:B,2)</f>
        <v>JG003105</v>
      </c>
    </row>
    <row r="99" spans="1:11" s="1" customFormat="1" ht="30" customHeight="1" x14ac:dyDescent="0.25">
      <c r="A99" s="1">
        <v>98</v>
      </c>
      <c r="B99" s="163" t="e">
        <v>#N/A</v>
      </c>
      <c r="C99" s="20"/>
      <c r="D99" s="20"/>
      <c r="E99" s="20"/>
      <c r="F99" s="20"/>
      <c r="G99" s="145"/>
      <c r="H99" s="20"/>
      <c r="I99" s="17"/>
      <c r="J99" s="17" t="e">
        <v>#N/A</v>
      </c>
      <c r="K99" s="163" t="e">
        <f>VLOOKUP(C99,花名册!A:B,2)</f>
        <v>#N/A</v>
      </c>
    </row>
    <row r="100" spans="1:11" s="1" customFormat="1" ht="30" customHeight="1" x14ac:dyDescent="0.25">
      <c r="A100" s="1">
        <v>99</v>
      </c>
      <c r="B100" s="163" t="e">
        <v>#N/A</v>
      </c>
      <c r="C100" s="15"/>
      <c r="D100" s="19"/>
      <c r="E100" s="16"/>
      <c r="F100" s="19"/>
      <c r="G100" s="143"/>
      <c r="H100" s="19"/>
      <c r="I100" s="17"/>
      <c r="J100" s="17" t="e">
        <v>#N/A</v>
      </c>
      <c r="K100" s="163" t="e">
        <f>VLOOKUP(C100,花名册!A:B,2)</f>
        <v>#N/A</v>
      </c>
    </row>
    <row r="101" spans="1:11" s="1" customFormat="1" ht="30" customHeight="1" x14ac:dyDescent="0.25">
      <c r="A101" s="1">
        <v>100</v>
      </c>
      <c r="B101" s="163" t="s">
        <v>1055</v>
      </c>
      <c r="C101" s="29" t="s">
        <v>176</v>
      </c>
      <c r="D101" s="19" t="s">
        <v>15</v>
      </c>
      <c r="E101" s="16" t="s">
        <v>16</v>
      </c>
      <c r="F101" s="19" t="s">
        <v>71</v>
      </c>
      <c r="G101" s="143"/>
      <c r="H101" s="19"/>
      <c r="I101" s="17">
        <v>45181</v>
      </c>
      <c r="J101" s="17" t="s">
        <v>175</v>
      </c>
      <c r="K101" s="163" t="str">
        <f>VLOOKUP(C101,花名册!A:B,2)</f>
        <v>JG001590</v>
      </c>
    </row>
    <row r="102" spans="1:11" s="1" customFormat="1" ht="30" customHeight="1" x14ac:dyDescent="0.25">
      <c r="A102" s="1">
        <v>101</v>
      </c>
      <c r="B102" s="163" t="s">
        <v>1032</v>
      </c>
      <c r="C102" s="19" t="s">
        <v>177</v>
      </c>
      <c r="D102" s="19" t="s">
        <v>15</v>
      </c>
      <c r="E102" s="16" t="s">
        <v>16</v>
      </c>
      <c r="F102" s="19" t="s">
        <v>71</v>
      </c>
      <c r="G102" s="143"/>
      <c r="H102" s="19"/>
      <c r="I102" s="17">
        <v>45163</v>
      </c>
      <c r="J102" s="17" t="s">
        <v>175</v>
      </c>
      <c r="K102" s="163" t="str">
        <f>VLOOKUP(C102,花名册!A:B,2)</f>
        <v>JG001582</v>
      </c>
    </row>
    <row r="103" spans="1:11" s="1" customFormat="1" ht="30" customHeight="1" x14ac:dyDescent="0.25">
      <c r="A103" s="1">
        <v>102</v>
      </c>
      <c r="B103" s="163" t="s">
        <v>3418</v>
      </c>
      <c r="C103" s="28" t="s">
        <v>178</v>
      </c>
      <c r="D103" s="28" t="s">
        <v>15</v>
      </c>
      <c r="E103" s="21" t="s">
        <v>16</v>
      </c>
      <c r="F103" s="28" t="s">
        <v>71</v>
      </c>
      <c r="G103" s="138"/>
      <c r="H103" s="28"/>
      <c r="I103" s="26">
        <v>45701</v>
      </c>
      <c r="J103" s="17" t="s">
        <v>88</v>
      </c>
      <c r="K103" s="163" t="str">
        <f>VLOOKUP(C103,花名册!A:B,2)</f>
        <v>JG910016</v>
      </c>
    </row>
    <row r="104" spans="1:11" s="1" customFormat="1" ht="30" customHeight="1" x14ac:dyDescent="0.25">
      <c r="A104" s="1">
        <v>103</v>
      </c>
      <c r="B104" s="163" t="s">
        <v>1098</v>
      </c>
      <c r="C104" s="61" t="s">
        <v>180</v>
      </c>
      <c r="D104" s="19" t="s">
        <v>15</v>
      </c>
      <c r="E104" s="16" t="s">
        <v>64</v>
      </c>
      <c r="F104" s="15"/>
      <c r="G104" s="15"/>
      <c r="H104" s="15"/>
      <c r="I104" s="17">
        <v>39513</v>
      </c>
      <c r="J104" s="17" t="s">
        <v>412</v>
      </c>
      <c r="K104" s="163" t="str">
        <f>VLOOKUP(C104,花名册!A:B,2)</f>
        <v>JG002562</v>
      </c>
    </row>
    <row r="105" spans="1:11" s="1" customFormat="1" ht="30" customHeight="1" x14ac:dyDescent="0.25">
      <c r="A105" s="1">
        <v>104</v>
      </c>
      <c r="B105" s="163" t="s">
        <v>2096</v>
      </c>
      <c r="C105" s="61" t="s">
        <v>181</v>
      </c>
      <c r="D105" s="19" t="s">
        <v>15</v>
      </c>
      <c r="E105" s="16" t="s">
        <v>64</v>
      </c>
      <c r="F105" s="15"/>
      <c r="G105" s="15"/>
      <c r="H105" s="15"/>
      <c r="I105" s="17">
        <v>40336</v>
      </c>
      <c r="J105" s="17" t="s">
        <v>136</v>
      </c>
      <c r="K105" s="163" t="str">
        <f>VLOOKUP(C105,花名册!A:B,2)</f>
        <v>JG002902</v>
      </c>
    </row>
    <row r="106" spans="1:11" s="1" customFormat="1" ht="30" customHeight="1" x14ac:dyDescent="0.25">
      <c r="A106" s="1">
        <v>105</v>
      </c>
      <c r="B106" s="163" t="e">
        <v>#N/A</v>
      </c>
      <c r="C106" s="82"/>
      <c r="D106" s="43"/>
      <c r="E106" s="44"/>
      <c r="F106" s="43"/>
      <c r="G106" s="43"/>
      <c r="H106" s="43"/>
      <c r="I106" s="54"/>
      <c r="J106" s="17" t="e">
        <v>#N/A</v>
      </c>
      <c r="K106" s="163" t="e">
        <f>VLOOKUP(C106,花名册!A:B,2)</f>
        <v>#N/A</v>
      </c>
    </row>
    <row r="107" spans="1:11" s="1" customFormat="1" ht="30" customHeight="1" x14ac:dyDescent="0.25">
      <c r="A107" s="1">
        <v>106</v>
      </c>
      <c r="B107" s="163" t="e">
        <v>#N/A</v>
      </c>
      <c r="C107" s="16"/>
      <c r="D107" s="16"/>
      <c r="E107" s="16"/>
      <c r="F107" s="16"/>
      <c r="G107" s="16"/>
      <c r="H107" s="16"/>
      <c r="I107" s="17"/>
      <c r="J107" s="17" t="e">
        <v>#N/A</v>
      </c>
      <c r="K107" s="163" t="e">
        <f>VLOOKUP(C107,花名册!A:B,2)</f>
        <v>#N/A</v>
      </c>
    </row>
    <row r="108" spans="1:11" s="1" customFormat="1" ht="30" customHeight="1" x14ac:dyDescent="0.25">
      <c r="A108" s="1">
        <v>107</v>
      </c>
      <c r="B108" s="163" t="s">
        <v>839</v>
      </c>
      <c r="C108" s="61" t="s">
        <v>183</v>
      </c>
      <c r="D108" s="19" t="s">
        <v>15</v>
      </c>
      <c r="E108" s="16" t="s">
        <v>64</v>
      </c>
      <c r="F108" s="15"/>
      <c r="G108" s="15"/>
      <c r="H108" s="15"/>
      <c r="I108" s="17">
        <v>42382</v>
      </c>
      <c r="J108" s="17" t="s">
        <v>489</v>
      </c>
      <c r="K108" s="163" t="str">
        <f>VLOOKUP(C108,花名册!A:B,2)</f>
        <v>JG003048</v>
      </c>
    </row>
    <row r="109" spans="1:11" s="1" customFormat="1" ht="30" customHeight="1" x14ac:dyDescent="0.25">
      <c r="A109" s="1">
        <v>108</v>
      </c>
      <c r="B109" s="163" t="s">
        <v>672</v>
      </c>
      <c r="C109" s="61" t="s">
        <v>184</v>
      </c>
      <c r="D109" s="19" t="s">
        <v>15</v>
      </c>
      <c r="E109" s="16" t="s">
        <v>64</v>
      </c>
      <c r="F109" s="15"/>
      <c r="G109" s="15"/>
      <c r="H109" s="15"/>
      <c r="I109" s="17">
        <v>42483</v>
      </c>
      <c r="J109" s="17" t="s">
        <v>182</v>
      </c>
      <c r="K109" s="163" t="str">
        <f>VLOOKUP(C109,花名册!A:B,2)</f>
        <v>JG000066</v>
      </c>
    </row>
    <row r="110" spans="1:11" s="1" customFormat="1" ht="30" customHeight="1" x14ac:dyDescent="0.25">
      <c r="A110" s="1">
        <v>109</v>
      </c>
      <c r="B110" s="163" t="e">
        <v>#N/A</v>
      </c>
      <c r="C110" s="15"/>
      <c r="D110" s="19"/>
      <c r="E110" s="16"/>
      <c r="F110" s="81"/>
      <c r="G110" s="81"/>
      <c r="H110" s="81"/>
      <c r="I110" s="17"/>
      <c r="J110" s="17" t="e">
        <v>#N/A</v>
      </c>
      <c r="K110" s="163" t="e">
        <f>VLOOKUP(C110,花名册!A:B,2)</f>
        <v>#N/A</v>
      </c>
    </row>
    <row r="111" spans="1:11" s="1" customFormat="1" ht="30" customHeight="1" x14ac:dyDescent="0.25">
      <c r="A111" s="1">
        <v>110</v>
      </c>
      <c r="B111" s="163" t="e">
        <v>#N/A</v>
      </c>
      <c r="C111" s="16"/>
      <c r="D111" s="16"/>
      <c r="E111" s="16"/>
      <c r="F111" s="16"/>
      <c r="G111" s="16"/>
      <c r="H111" s="16"/>
      <c r="I111" s="17"/>
      <c r="J111" s="17" t="e">
        <v>#N/A</v>
      </c>
      <c r="K111" s="163" t="e">
        <f>VLOOKUP(C111,花名册!A:B,2)</f>
        <v>#N/A</v>
      </c>
    </row>
    <row r="112" spans="1:11" s="1" customFormat="1" ht="30" customHeight="1" x14ac:dyDescent="0.25">
      <c r="A112" s="1">
        <v>111</v>
      </c>
      <c r="B112" s="163" t="s">
        <v>771</v>
      </c>
      <c r="C112" s="15" t="s">
        <v>186</v>
      </c>
      <c r="D112" s="19" t="s">
        <v>15</v>
      </c>
      <c r="E112" s="16" t="s">
        <v>64</v>
      </c>
      <c r="F112" s="15"/>
      <c r="G112" s="15"/>
      <c r="H112" s="15"/>
      <c r="I112" s="17">
        <v>42182</v>
      </c>
      <c r="J112" s="17" t="s">
        <v>185</v>
      </c>
      <c r="K112" s="163" t="str">
        <f>VLOOKUP(C112,花名册!A:B,2)</f>
        <v>JG000053</v>
      </c>
    </row>
    <row r="113" spans="1:11" s="1" customFormat="1" ht="30" customHeight="1" x14ac:dyDescent="0.25">
      <c r="A113" s="1">
        <v>112</v>
      </c>
      <c r="B113" s="163" t="s">
        <v>3420</v>
      </c>
      <c r="C113" s="19" t="s">
        <v>187</v>
      </c>
      <c r="D113" s="19" t="s">
        <v>15</v>
      </c>
      <c r="E113" s="16" t="s">
        <v>64</v>
      </c>
      <c r="F113" s="15"/>
      <c r="G113" s="15"/>
      <c r="H113" s="15"/>
      <c r="I113" s="17">
        <v>44259</v>
      </c>
      <c r="J113" s="17" t="s">
        <v>142</v>
      </c>
      <c r="K113" s="163" t="str">
        <f>VLOOKUP(C113,花名册!A:B,2)</f>
        <v>JG910018</v>
      </c>
    </row>
    <row r="114" spans="1:11" s="1" customFormat="1" ht="30" customHeight="1" x14ac:dyDescent="0.25">
      <c r="A114" s="1">
        <v>113</v>
      </c>
      <c r="B114" s="163" t="e">
        <v>#N/A</v>
      </c>
      <c r="C114" s="15"/>
      <c r="D114" s="15"/>
      <c r="E114" s="16"/>
      <c r="F114" s="15"/>
      <c r="G114" s="15"/>
      <c r="H114" s="15"/>
      <c r="I114" s="17"/>
      <c r="J114" s="17" t="e">
        <v>#N/A</v>
      </c>
      <c r="K114" s="163" t="e">
        <f>VLOOKUP(C114,花名册!A:B,2)</f>
        <v>#N/A</v>
      </c>
    </row>
    <row r="115" spans="1:11" s="1" customFormat="1" ht="30" customHeight="1" x14ac:dyDescent="0.25">
      <c r="A115" s="1">
        <v>114</v>
      </c>
      <c r="B115" s="163" t="e">
        <v>#N/A</v>
      </c>
      <c r="C115" s="16"/>
      <c r="D115" s="16"/>
      <c r="E115" s="16"/>
      <c r="F115" s="16"/>
      <c r="G115" s="16"/>
      <c r="H115" s="16"/>
      <c r="I115" s="17"/>
      <c r="J115" s="17" t="e">
        <v>#N/A</v>
      </c>
      <c r="K115" s="163" t="e">
        <f>VLOOKUP(C115,花名册!A:B,2)</f>
        <v>#N/A</v>
      </c>
    </row>
    <row r="116" spans="1:11" s="1" customFormat="1" ht="30" customHeight="1" x14ac:dyDescent="0.25">
      <c r="A116" s="1">
        <v>115</v>
      </c>
      <c r="B116" s="163" t="s">
        <v>3418</v>
      </c>
      <c r="C116" s="61" t="s">
        <v>189</v>
      </c>
      <c r="D116" s="28" t="s">
        <v>15</v>
      </c>
      <c r="E116" s="21" t="s">
        <v>64</v>
      </c>
      <c r="F116" s="15"/>
      <c r="G116" s="15"/>
      <c r="H116" s="15"/>
      <c r="I116" s="26">
        <v>45437</v>
      </c>
      <c r="J116" s="17" t="s">
        <v>88</v>
      </c>
      <c r="K116" s="163" t="str">
        <f>VLOOKUP(C116,花名册!A:B,2)</f>
        <v>JG910016</v>
      </c>
    </row>
    <row r="117" spans="1:11" s="1" customFormat="1" ht="30" customHeight="1" x14ac:dyDescent="0.25">
      <c r="A117" s="1">
        <v>116</v>
      </c>
      <c r="B117" s="163" t="s">
        <v>3418</v>
      </c>
      <c r="C117" s="28" t="s">
        <v>190</v>
      </c>
      <c r="D117" s="19" t="s">
        <v>15</v>
      </c>
      <c r="E117" s="28" t="s">
        <v>64</v>
      </c>
      <c r="F117" s="28"/>
      <c r="G117" s="138"/>
      <c r="H117" s="28"/>
      <c r="I117" s="26">
        <v>45521</v>
      </c>
      <c r="J117" s="17" t="s">
        <v>88</v>
      </c>
      <c r="K117" s="163" t="str">
        <f>VLOOKUP(C117,花名册!A:B,2)</f>
        <v>JG910016</v>
      </c>
    </row>
    <row r="118" spans="1:11" s="1" customFormat="1" ht="30" customHeight="1" x14ac:dyDescent="0.25">
      <c r="A118" s="1">
        <v>117</v>
      </c>
      <c r="B118" s="163" t="e">
        <v>#N/A</v>
      </c>
      <c r="C118" s="15"/>
      <c r="D118" s="15"/>
      <c r="E118" s="73"/>
      <c r="F118" s="63"/>
      <c r="G118" s="63"/>
      <c r="H118" s="63"/>
      <c r="I118" s="26"/>
      <c r="J118" s="17" t="e">
        <v>#N/A</v>
      </c>
      <c r="K118" s="163" t="e">
        <f>VLOOKUP(C118,花名册!A:B,2)</f>
        <v>#N/A</v>
      </c>
    </row>
    <row r="119" spans="1:11" s="1" customFormat="1" ht="30" customHeight="1" x14ac:dyDescent="0.25">
      <c r="A119" s="1">
        <v>118</v>
      </c>
      <c r="B119" s="163" t="e">
        <v>#N/A</v>
      </c>
      <c r="C119" s="16"/>
      <c r="D119" s="16"/>
      <c r="E119" s="16"/>
      <c r="F119" s="16"/>
      <c r="G119" s="16"/>
      <c r="H119" s="16"/>
      <c r="I119" s="17"/>
      <c r="J119" s="17" t="e">
        <v>#N/A</v>
      </c>
      <c r="K119" s="163" t="e">
        <f>VLOOKUP(C119,花名册!A:B,2)</f>
        <v>#N/A</v>
      </c>
    </row>
    <row r="120" spans="1:11" s="1" customFormat="1" ht="30" customHeight="1" x14ac:dyDescent="0.25">
      <c r="A120" s="1">
        <v>119</v>
      </c>
      <c r="B120" s="163" t="s">
        <v>3417</v>
      </c>
      <c r="C120" s="19" t="s">
        <v>192</v>
      </c>
      <c r="D120" s="19" t="s">
        <v>15</v>
      </c>
      <c r="E120" s="16" t="s">
        <v>16</v>
      </c>
      <c r="F120" s="15" t="s">
        <v>71</v>
      </c>
      <c r="G120" s="15"/>
      <c r="H120" s="15"/>
      <c r="I120" s="17">
        <v>44188</v>
      </c>
      <c r="J120" s="17" t="s">
        <v>441</v>
      </c>
      <c r="K120" s="163" t="str">
        <f>VLOOKUP(C120,花名册!A:B,2)</f>
        <v>JG910015</v>
      </c>
    </row>
    <row r="121" spans="1:11" s="1" customFormat="1" ht="30" customHeight="1" x14ac:dyDescent="0.25">
      <c r="A121" s="1">
        <v>120</v>
      </c>
      <c r="B121" s="163" t="s">
        <v>3418</v>
      </c>
      <c r="C121" s="19" t="s">
        <v>193</v>
      </c>
      <c r="D121" s="19" t="s">
        <v>15</v>
      </c>
      <c r="E121" s="16" t="s">
        <v>16</v>
      </c>
      <c r="F121" s="15" t="s">
        <v>71</v>
      </c>
      <c r="G121" s="15"/>
      <c r="H121" s="15"/>
      <c r="I121" s="17">
        <v>44252</v>
      </c>
      <c r="J121" s="17" t="s">
        <v>88</v>
      </c>
      <c r="K121" s="163" t="str">
        <f>VLOOKUP(C121,花名册!A:B,2)</f>
        <v>JG910016</v>
      </c>
    </row>
    <row r="122" spans="1:11" s="1" customFormat="1" ht="30" customHeight="1" x14ac:dyDescent="0.25">
      <c r="A122" s="1">
        <v>121</v>
      </c>
      <c r="B122" s="163" t="s">
        <v>3418</v>
      </c>
      <c r="C122" s="15" t="s">
        <v>194</v>
      </c>
      <c r="D122" s="19" t="s">
        <v>15</v>
      </c>
      <c r="E122" s="16" t="s">
        <v>16</v>
      </c>
      <c r="F122" s="81" t="s">
        <v>74</v>
      </c>
      <c r="G122" s="81"/>
      <c r="H122" s="81"/>
      <c r="I122" s="17">
        <v>42948</v>
      </c>
      <c r="J122" s="17" t="s">
        <v>88</v>
      </c>
      <c r="K122" s="163" t="str">
        <f>VLOOKUP(C122,花名册!A:B,2)</f>
        <v>JG910016</v>
      </c>
    </row>
    <row r="123" spans="1:11" s="1" customFormat="1" ht="30" customHeight="1" x14ac:dyDescent="0.25">
      <c r="A123" s="1">
        <v>122</v>
      </c>
      <c r="B123" s="163" t="e">
        <v>#N/A</v>
      </c>
      <c r="C123" s="23"/>
      <c r="D123" s="62"/>
      <c r="E123" s="27"/>
      <c r="F123" s="43"/>
      <c r="G123" s="43"/>
      <c r="H123" s="43"/>
      <c r="I123" s="62"/>
      <c r="J123" s="17" t="e">
        <v>#N/A</v>
      </c>
      <c r="K123" s="163" t="e">
        <f>VLOOKUP(C123,花名册!A:B,2)</f>
        <v>#N/A</v>
      </c>
    </row>
    <row r="124" spans="1:11" s="1" customFormat="1" ht="30" customHeight="1" x14ac:dyDescent="0.25">
      <c r="A124" s="1">
        <v>123</v>
      </c>
      <c r="B124" s="163" t="e">
        <v>#N/A</v>
      </c>
      <c r="C124" s="15"/>
      <c r="D124" s="15"/>
      <c r="E124" s="16"/>
      <c r="F124" s="15"/>
      <c r="G124" s="15"/>
      <c r="H124" s="15"/>
      <c r="I124" s="83"/>
      <c r="J124" s="17" t="e">
        <v>#N/A</v>
      </c>
      <c r="K124" s="163" t="e">
        <f>VLOOKUP(C124,花名册!A:B,2)</f>
        <v>#N/A</v>
      </c>
    </row>
    <row r="125" spans="1:11" s="1" customFormat="1" ht="30" customHeight="1" x14ac:dyDescent="0.25">
      <c r="A125" s="1">
        <v>124</v>
      </c>
      <c r="B125" s="163" t="e">
        <v>#N/A</v>
      </c>
      <c r="C125" s="15"/>
      <c r="D125" s="15"/>
      <c r="E125" s="31"/>
      <c r="F125" s="15"/>
      <c r="G125" s="15"/>
      <c r="H125" s="15"/>
      <c r="I125" s="66"/>
      <c r="J125" s="17" t="e">
        <v>#N/A</v>
      </c>
      <c r="K125" s="163" t="e">
        <f>VLOOKUP(C125,花名册!A:B,2)</f>
        <v>#N/A</v>
      </c>
    </row>
    <row r="126" spans="1:11" s="1" customFormat="1" ht="30" customHeight="1" x14ac:dyDescent="0.25">
      <c r="A126" s="1">
        <v>125</v>
      </c>
      <c r="B126" s="163" t="e">
        <v>#N/A</v>
      </c>
      <c r="C126" s="15"/>
      <c r="D126" s="15"/>
      <c r="E126" s="15"/>
      <c r="F126" s="15"/>
      <c r="G126" s="15"/>
      <c r="H126" s="15"/>
      <c r="I126" s="39"/>
      <c r="J126" s="17" t="e">
        <v>#N/A</v>
      </c>
      <c r="K126" s="163" t="e">
        <f>VLOOKUP(C126,花名册!A:B,2)</f>
        <v>#N/A</v>
      </c>
    </row>
    <row r="127" spans="1:11" s="1" customFormat="1" ht="30" customHeight="1" x14ac:dyDescent="0.25">
      <c r="A127" s="1">
        <v>126</v>
      </c>
      <c r="B127" s="163" t="e">
        <v>#N/A</v>
      </c>
      <c r="C127" s="15"/>
      <c r="D127" s="19"/>
      <c r="E127" s="16"/>
      <c r="F127" s="19"/>
      <c r="G127" s="143"/>
      <c r="H127" s="19"/>
      <c r="I127" s="17"/>
      <c r="J127" s="17" t="e">
        <v>#N/A</v>
      </c>
      <c r="K127" s="163" t="e">
        <f>VLOOKUP(C127,花名册!A:B,2)</f>
        <v>#N/A</v>
      </c>
    </row>
    <row r="128" spans="1:11" s="1" customFormat="1" ht="30" customHeight="1" x14ac:dyDescent="0.25">
      <c r="A128" s="1">
        <v>127</v>
      </c>
      <c r="B128" s="163" t="s">
        <v>1619</v>
      </c>
      <c r="C128" s="15" t="s">
        <v>198</v>
      </c>
      <c r="D128" s="15" t="s">
        <v>15</v>
      </c>
      <c r="E128" s="16" t="s">
        <v>16</v>
      </c>
      <c r="F128" s="15" t="s">
        <v>71</v>
      </c>
      <c r="G128" s="15"/>
      <c r="H128" s="15"/>
      <c r="I128" s="39">
        <v>45231</v>
      </c>
      <c r="J128" s="17" t="s">
        <v>197</v>
      </c>
      <c r="K128" s="163" t="str">
        <f>VLOOKUP(C128,花名册!A:B,2)</f>
        <v>JG001413</v>
      </c>
    </row>
    <row r="129" spans="1:11" s="1" customFormat="1" ht="30" customHeight="1" x14ac:dyDescent="0.25">
      <c r="A129" s="1">
        <v>128</v>
      </c>
      <c r="B129" s="163" t="s">
        <v>3420</v>
      </c>
      <c r="C129" s="63" t="s">
        <v>199</v>
      </c>
      <c r="D129" s="28" t="s">
        <v>15</v>
      </c>
      <c r="E129" s="21" t="s">
        <v>16</v>
      </c>
      <c r="F129" s="28" t="s">
        <v>71</v>
      </c>
      <c r="G129" s="138"/>
      <c r="H129" s="28"/>
      <c r="I129" s="26">
        <v>45463</v>
      </c>
      <c r="J129" s="17" t="s">
        <v>142</v>
      </c>
      <c r="K129" s="163" t="str">
        <f>VLOOKUP(C129,花名册!A:B,2)</f>
        <v>JG910018</v>
      </c>
    </row>
    <row r="130" spans="1:11" s="1" customFormat="1" ht="30" customHeight="1" x14ac:dyDescent="0.25">
      <c r="A130" s="1">
        <v>129</v>
      </c>
      <c r="B130" s="163" t="e">
        <v>#N/A</v>
      </c>
      <c r="C130" s="63"/>
      <c r="D130" s="19"/>
      <c r="E130" s="16"/>
      <c r="F130" s="19"/>
      <c r="G130" s="143"/>
      <c r="H130" s="19"/>
      <c r="I130" s="26"/>
      <c r="J130" s="17" t="e">
        <v>#N/A</v>
      </c>
      <c r="K130" s="163" t="e">
        <f>VLOOKUP(C130,花名册!A:B,2)</f>
        <v>#N/A</v>
      </c>
    </row>
    <row r="131" spans="1:11" s="1" customFormat="1" ht="30" customHeight="1" x14ac:dyDescent="0.25">
      <c r="A131" s="1">
        <v>130</v>
      </c>
      <c r="B131" s="163" t="e">
        <v>#N/A</v>
      </c>
      <c r="C131" s="63"/>
      <c r="D131" s="28"/>
      <c r="E131" s="21"/>
      <c r="F131" s="28"/>
      <c r="G131" s="138"/>
      <c r="H131" s="28"/>
      <c r="I131" s="26"/>
      <c r="J131" s="17" t="e">
        <v>#N/A</v>
      </c>
      <c r="K131" s="163" t="e">
        <f>VLOOKUP(C131,花名册!A:B,2)</f>
        <v>#N/A</v>
      </c>
    </row>
    <row r="132" spans="1:11" s="1" customFormat="1" ht="30" customHeight="1" x14ac:dyDescent="0.25">
      <c r="A132" s="1">
        <v>131</v>
      </c>
      <c r="B132" s="163" t="s">
        <v>3418</v>
      </c>
      <c r="C132" s="20" t="s">
        <v>201</v>
      </c>
      <c r="D132" s="28" t="s">
        <v>15</v>
      </c>
      <c r="E132" s="21" t="s">
        <v>16</v>
      </c>
      <c r="F132" s="28" t="s">
        <v>71</v>
      </c>
      <c r="G132" s="138"/>
      <c r="H132" s="28"/>
      <c r="I132" s="22">
        <v>45762</v>
      </c>
      <c r="J132" s="17" t="s">
        <v>88</v>
      </c>
      <c r="K132" s="163" t="str">
        <f>VLOOKUP(C132,花名册!A:B,2)</f>
        <v>JG910016</v>
      </c>
    </row>
    <row r="133" spans="1:11" s="1" customFormat="1" ht="30" customHeight="1" x14ac:dyDescent="0.25">
      <c r="A133" s="1">
        <v>132</v>
      </c>
      <c r="B133" s="163" t="s">
        <v>1174</v>
      </c>
      <c r="C133" s="28" t="s">
        <v>202</v>
      </c>
      <c r="D133" s="28" t="s">
        <v>15</v>
      </c>
      <c r="E133" s="21" t="s">
        <v>16</v>
      </c>
      <c r="F133" s="28" t="s">
        <v>71</v>
      </c>
      <c r="G133" s="138"/>
      <c r="H133" s="28"/>
      <c r="I133" s="26">
        <v>46170</v>
      </c>
      <c r="J133" s="17" t="s">
        <v>200</v>
      </c>
      <c r="K133" s="163" t="str">
        <f>VLOOKUP(C133,花名册!A:B,2)</f>
        <v>JG003178</v>
      </c>
    </row>
    <row r="134" spans="1:11" s="1" customFormat="1" ht="30" customHeight="1" x14ac:dyDescent="0.25">
      <c r="A134" s="1">
        <v>133</v>
      </c>
      <c r="B134" s="163" t="s">
        <v>3417</v>
      </c>
      <c r="C134" s="30" t="s">
        <v>203</v>
      </c>
      <c r="D134" s="28" t="s">
        <v>15</v>
      </c>
      <c r="E134" s="20" t="s">
        <v>16</v>
      </c>
      <c r="F134" s="19"/>
      <c r="G134" s="143"/>
      <c r="H134" s="19"/>
      <c r="I134" s="26">
        <v>46184</v>
      </c>
      <c r="J134" s="17" t="s">
        <v>441</v>
      </c>
      <c r="K134" s="163" t="str">
        <f>VLOOKUP(C134,花名册!A:B,2)</f>
        <v>JG910015</v>
      </c>
    </row>
    <row r="135" spans="1:11" s="1" customFormat="1" ht="30" customHeight="1" x14ac:dyDescent="0.25">
      <c r="A135" s="1">
        <v>134</v>
      </c>
      <c r="B135" s="163" t="e">
        <v>#N/A</v>
      </c>
      <c r="C135" s="11"/>
      <c r="D135" s="28"/>
      <c r="E135" s="21"/>
      <c r="F135" s="28"/>
      <c r="G135" s="138"/>
      <c r="H135" s="28"/>
      <c r="I135" s="26"/>
      <c r="J135" s="17" t="e">
        <v>#N/A</v>
      </c>
      <c r="K135" s="163" t="e">
        <f>VLOOKUP(C135,花名册!A:B,2)</f>
        <v>#N/A</v>
      </c>
    </row>
    <row r="136" spans="1:11" s="1" customFormat="1" ht="30" customHeight="1" x14ac:dyDescent="0.25">
      <c r="A136" s="1">
        <v>135</v>
      </c>
      <c r="B136" s="163" t="s">
        <v>1512</v>
      </c>
      <c r="C136" s="29" t="s">
        <v>206</v>
      </c>
      <c r="D136" s="19" t="s">
        <v>15</v>
      </c>
      <c r="E136" s="16" t="s">
        <v>16</v>
      </c>
      <c r="F136" s="19" t="s">
        <v>74</v>
      </c>
      <c r="G136" s="143"/>
      <c r="H136" s="19"/>
      <c r="I136" s="17">
        <v>45131</v>
      </c>
      <c r="J136" s="17" t="s">
        <v>205</v>
      </c>
      <c r="K136" s="163" t="str">
        <f>VLOOKUP(C136,花名册!A:B,2)</f>
        <v>JG001535</v>
      </c>
    </row>
    <row r="137" spans="1:11" s="1" customFormat="1" ht="30" customHeight="1" x14ac:dyDescent="0.25">
      <c r="A137" s="1">
        <v>136</v>
      </c>
      <c r="B137" s="163" t="s">
        <v>3417</v>
      </c>
      <c r="C137" s="20" t="s">
        <v>207</v>
      </c>
      <c r="D137" s="28" t="s">
        <v>15</v>
      </c>
      <c r="E137" s="59" t="s">
        <v>64</v>
      </c>
      <c r="F137" s="28"/>
      <c r="G137" s="138"/>
      <c r="H137" s="28"/>
      <c r="I137" s="22">
        <v>46001</v>
      </c>
      <c r="J137" s="17" t="s">
        <v>441</v>
      </c>
      <c r="K137" s="163" t="str">
        <f>VLOOKUP(C137,花名册!A:B,2)</f>
        <v>JG910015</v>
      </c>
    </row>
    <row r="138" spans="1:11" s="1" customFormat="1" ht="30" customHeight="1" x14ac:dyDescent="0.25">
      <c r="A138" s="1">
        <v>137</v>
      </c>
      <c r="B138" s="163" t="e">
        <v>#N/A</v>
      </c>
      <c r="C138" s="44"/>
      <c r="D138" s="28"/>
      <c r="E138" s="21"/>
      <c r="F138" s="28"/>
      <c r="G138" s="138"/>
      <c r="H138" s="28"/>
      <c r="I138" s="26"/>
      <c r="J138" s="17" t="e">
        <v>#N/A</v>
      </c>
      <c r="K138" s="163" t="e">
        <f>VLOOKUP(C138,花名册!A:B,2)</f>
        <v>#N/A</v>
      </c>
    </row>
    <row r="139" spans="1:11" s="1" customFormat="1" ht="30" customHeight="1" x14ac:dyDescent="0.25">
      <c r="A139" s="1">
        <v>138</v>
      </c>
      <c r="B139" s="163" t="s">
        <v>2337</v>
      </c>
      <c r="C139" s="30" t="s">
        <v>208</v>
      </c>
      <c r="D139" s="63" t="s">
        <v>15</v>
      </c>
      <c r="E139" s="73" t="s">
        <v>16</v>
      </c>
      <c r="F139" s="63" t="s">
        <v>67</v>
      </c>
      <c r="G139" s="63"/>
      <c r="H139" s="63"/>
      <c r="I139" s="32">
        <v>46204</v>
      </c>
      <c r="J139" s="17" t="s">
        <v>205</v>
      </c>
      <c r="K139" s="163" t="str">
        <f>VLOOKUP(C139,花名册!A:B,2)</f>
        <v>JG003236</v>
      </c>
    </row>
    <row r="140" spans="1:11" s="1" customFormat="1" ht="30" customHeight="1" x14ac:dyDescent="0.25">
      <c r="A140" s="1">
        <v>139</v>
      </c>
      <c r="B140" s="163" t="s">
        <v>771</v>
      </c>
      <c r="C140" s="15" t="s">
        <v>210</v>
      </c>
      <c r="D140" s="28" t="s">
        <v>15</v>
      </c>
      <c r="E140" s="21" t="s">
        <v>85</v>
      </c>
      <c r="F140" s="81" t="s">
        <v>211</v>
      </c>
      <c r="G140" s="81"/>
      <c r="H140" s="81"/>
      <c r="I140" s="26">
        <v>45421</v>
      </c>
      <c r="J140" s="17" t="s">
        <v>185</v>
      </c>
      <c r="K140" s="163" t="str">
        <f>VLOOKUP(C140,花名册!A:B,2)</f>
        <v>JG000053</v>
      </c>
    </row>
    <row r="141" spans="1:11" s="1" customFormat="1" ht="30" customHeight="1" x14ac:dyDescent="0.25">
      <c r="A141" s="1">
        <v>140</v>
      </c>
      <c r="B141" s="163" t="s">
        <v>1752</v>
      </c>
      <c r="C141" s="63" t="s">
        <v>212</v>
      </c>
      <c r="D141" s="28" t="s">
        <v>15</v>
      </c>
      <c r="E141" s="21" t="s">
        <v>27</v>
      </c>
      <c r="F141" s="15" t="s">
        <v>211</v>
      </c>
      <c r="G141" s="15"/>
      <c r="H141" s="15"/>
      <c r="I141" s="26">
        <v>45421</v>
      </c>
      <c r="J141" s="17" t="s">
        <v>269</v>
      </c>
      <c r="K141" s="163" t="str">
        <f>VLOOKUP(C141,花名册!A:B,2)</f>
        <v>JG001870</v>
      </c>
    </row>
    <row r="142" spans="1:11" s="1" customFormat="1" ht="30" customHeight="1" x14ac:dyDescent="0.25">
      <c r="A142" s="1">
        <v>141</v>
      </c>
      <c r="B142" s="163" t="s">
        <v>1960</v>
      </c>
      <c r="C142" s="28" t="s">
        <v>213</v>
      </c>
      <c r="D142" s="19" t="s">
        <v>15</v>
      </c>
      <c r="E142" s="16" t="s">
        <v>85</v>
      </c>
      <c r="F142" s="63"/>
      <c r="G142" s="63"/>
      <c r="H142" s="63"/>
      <c r="I142" s="26">
        <v>46083</v>
      </c>
      <c r="J142" s="17" t="s">
        <v>107</v>
      </c>
      <c r="K142" s="163" t="str">
        <f>VLOOKUP(C142,花名册!A:B,2)</f>
        <v>JG001928</v>
      </c>
    </row>
    <row r="143" spans="1:11" s="1" customFormat="1" ht="30" customHeight="1" x14ac:dyDescent="0.25">
      <c r="A143" s="1">
        <v>142</v>
      </c>
      <c r="B143" s="163" t="s">
        <v>1204</v>
      </c>
      <c r="C143" s="84" t="s">
        <v>214</v>
      </c>
      <c r="D143" s="19" t="s">
        <v>15</v>
      </c>
      <c r="E143" s="16" t="s">
        <v>85</v>
      </c>
      <c r="F143" s="15"/>
      <c r="G143" s="15"/>
      <c r="H143" s="15"/>
      <c r="I143" s="70">
        <v>46176</v>
      </c>
      <c r="J143" s="17" t="s">
        <v>322</v>
      </c>
      <c r="K143" s="163" t="str">
        <f>VLOOKUP(C143,花名册!A:B,2)</f>
        <v>JG000141</v>
      </c>
    </row>
    <row r="144" spans="1:11" s="1" customFormat="1" ht="30" customHeight="1" x14ac:dyDescent="0.25">
      <c r="A144" s="1">
        <v>143</v>
      </c>
      <c r="B144" s="163" t="s">
        <v>1375</v>
      </c>
      <c r="C144" s="15" t="s">
        <v>217</v>
      </c>
      <c r="D144" s="15" t="s">
        <v>15</v>
      </c>
      <c r="E144" s="16" t="s">
        <v>92</v>
      </c>
      <c r="F144" s="15"/>
      <c r="G144" s="15"/>
      <c r="H144" s="15"/>
      <c r="I144" s="17">
        <v>44958</v>
      </c>
      <c r="J144" s="17" t="s">
        <v>216</v>
      </c>
      <c r="K144" s="163" t="str">
        <f>VLOOKUP(C144,花名册!A:B,2)</f>
        <v>JG001339</v>
      </c>
    </row>
    <row r="145" spans="1:11" s="1" customFormat="1" ht="30" customHeight="1" x14ac:dyDescent="0.25">
      <c r="A145" s="1">
        <v>144</v>
      </c>
      <c r="B145" s="163" t="s">
        <v>1629</v>
      </c>
      <c r="C145" s="15" t="s">
        <v>218</v>
      </c>
      <c r="D145" s="15" t="s">
        <v>15</v>
      </c>
      <c r="E145" s="16" t="s">
        <v>92</v>
      </c>
      <c r="F145" s="15"/>
      <c r="G145" s="15"/>
      <c r="H145" s="15"/>
      <c r="I145" s="17">
        <v>44900</v>
      </c>
      <c r="J145" s="17" t="s">
        <v>216</v>
      </c>
      <c r="K145" s="163" t="str">
        <f>VLOOKUP(C145,花名册!A:B,2)</f>
        <v>JG001306</v>
      </c>
    </row>
    <row r="146" spans="1:11" s="1" customFormat="1" ht="30" customHeight="1" x14ac:dyDescent="0.25">
      <c r="A146" s="1">
        <v>145</v>
      </c>
      <c r="B146" s="163" t="s">
        <v>3418</v>
      </c>
      <c r="C146" s="28" t="s">
        <v>220</v>
      </c>
      <c r="D146" s="28" t="s">
        <v>15</v>
      </c>
      <c r="E146" s="21" t="s">
        <v>85</v>
      </c>
      <c r="F146" s="15"/>
      <c r="G146" s="15"/>
      <c r="H146" s="15"/>
      <c r="I146" s="85" t="s">
        <v>221</v>
      </c>
      <c r="J146" s="17" t="s">
        <v>88</v>
      </c>
      <c r="K146" s="163" t="str">
        <f>VLOOKUP(C146,花名册!A:B,2)</f>
        <v>JG910016</v>
      </c>
    </row>
    <row r="147" spans="1:11" s="1" customFormat="1" ht="30" customHeight="1" x14ac:dyDescent="0.25">
      <c r="A147" s="1">
        <v>146</v>
      </c>
      <c r="B147" s="163" t="s">
        <v>672</v>
      </c>
      <c r="C147" s="15" t="s">
        <v>223</v>
      </c>
      <c r="D147" s="28" t="s">
        <v>15</v>
      </c>
      <c r="E147" s="21" t="s">
        <v>85</v>
      </c>
      <c r="F147" s="15"/>
      <c r="G147" s="15"/>
      <c r="H147" s="15"/>
      <c r="I147" s="85">
        <v>45841</v>
      </c>
      <c r="J147" s="17" t="s">
        <v>182</v>
      </c>
      <c r="K147" s="163" t="str">
        <f>VLOOKUP(C147,花名册!A:B,2)</f>
        <v>JG000066</v>
      </c>
    </row>
    <row r="148" spans="1:11" s="1" customFormat="1" ht="30" customHeight="1" x14ac:dyDescent="0.25">
      <c r="A148" s="1">
        <v>147</v>
      </c>
      <c r="B148" s="163" t="s">
        <v>1947</v>
      </c>
      <c r="C148" s="15" t="s">
        <v>225</v>
      </c>
      <c r="D148" s="19" t="s">
        <v>15</v>
      </c>
      <c r="E148" s="16" t="s">
        <v>27</v>
      </c>
      <c r="F148" s="15"/>
      <c r="G148" s="15"/>
      <c r="H148" s="15"/>
      <c r="I148" s="17">
        <v>43969</v>
      </c>
      <c r="J148" s="17" t="s">
        <v>417</v>
      </c>
      <c r="K148" s="163" t="str">
        <f>VLOOKUP(C148,花名册!A:B,2)</f>
        <v>JG003052</v>
      </c>
    </row>
    <row r="149" spans="1:11" s="1" customFormat="1" ht="30" customHeight="1" x14ac:dyDescent="0.25">
      <c r="A149" s="1">
        <v>148</v>
      </c>
      <c r="B149" s="163" t="s">
        <v>1204</v>
      </c>
      <c r="C149" s="33" t="s">
        <v>226</v>
      </c>
      <c r="D149" s="28" t="s">
        <v>15</v>
      </c>
      <c r="E149" s="21" t="s">
        <v>85</v>
      </c>
      <c r="F149" s="15" t="s">
        <v>98</v>
      </c>
      <c r="G149" s="15"/>
      <c r="H149" s="15"/>
      <c r="I149" s="26">
        <v>46197</v>
      </c>
      <c r="J149" s="17" t="s">
        <v>322</v>
      </c>
      <c r="K149" s="163" t="str">
        <f>VLOOKUP(C149,花名册!A:B,2)</f>
        <v>JG000141</v>
      </c>
    </row>
    <row r="150" spans="1:11" s="1" customFormat="1" ht="30" customHeight="1" x14ac:dyDescent="0.25">
      <c r="A150" s="1">
        <v>149</v>
      </c>
      <c r="B150" s="163" t="s">
        <v>3420</v>
      </c>
      <c r="C150" s="61" t="s">
        <v>229</v>
      </c>
      <c r="D150" s="19" t="s">
        <v>15</v>
      </c>
      <c r="E150" s="16" t="s">
        <v>27</v>
      </c>
      <c r="F150" s="15"/>
      <c r="G150" s="15"/>
      <c r="H150" s="15"/>
      <c r="I150" s="17">
        <v>43300</v>
      </c>
      <c r="J150" s="17" t="s">
        <v>142</v>
      </c>
      <c r="K150" s="163" t="str">
        <f>VLOOKUP(C150,花名册!A:B,2)</f>
        <v>JG910018</v>
      </c>
    </row>
    <row r="151" spans="1:11" s="1" customFormat="1" ht="30" customHeight="1" x14ac:dyDescent="0.25">
      <c r="A151" s="1">
        <v>150</v>
      </c>
      <c r="B151" s="163" t="s">
        <v>3420</v>
      </c>
      <c r="C151" s="15" t="s">
        <v>230</v>
      </c>
      <c r="D151" s="19" t="s">
        <v>15</v>
      </c>
      <c r="E151" s="16" t="s">
        <v>27</v>
      </c>
      <c r="F151" s="15"/>
      <c r="G151" s="15"/>
      <c r="H151" s="15"/>
      <c r="I151" s="17">
        <v>43990</v>
      </c>
      <c r="J151" s="17" t="s">
        <v>142</v>
      </c>
      <c r="K151" s="163" t="str">
        <f>VLOOKUP(C151,花名册!A:B,2)</f>
        <v>JG910018</v>
      </c>
    </row>
    <row r="152" spans="1:11" s="1" customFormat="1" ht="30" customHeight="1" x14ac:dyDescent="0.25">
      <c r="A152" s="1">
        <v>151</v>
      </c>
      <c r="B152" s="163" t="s">
        <v>3417</v>
      </c>
      <c r="C152" s="15" t="s">
        <v>232</v>
      </c>
      <c r="D152" s="19" t="s">
        <v>15</v>
      </c>
      <c r="E152" s="16" t="s">
        <v>27</v>
      </c>
      <c r="F152" s="15"/>
      <c r="G152" s="15"/>
      <c r="H152" s="15"/>
      <c r="I152" s="17">
        <v>44010</v>
      </c>
      <c r="J152" s="17" t="s">
        <v>441</v>
      </c>
      <c r="K152" s="163" t="str">
        <f>VLOOKUP(C152,花名册!A:B,2)</f>
        <v>JG910015</v>
      </c>
    </row>
    <row r="153" spans="1:11" s="1" customFormat="1" ht="30" customHeight="1" x14ac:dyDescent="0.25">
      <c r="A153" s="1">
        <v>152</v>
      </c>
      <c r="B153" s="163" t="s">
        <v>928</v>
      </c>
      <c r="C153" s="61" t="s">
        <v>233</v>
      </c>
      <c r="D153" s="19" t="s">
        <v>15</v>
      </c>
      <c r="E153" s="16" t="s">
        <v>27</v>
      </c>
      <c r="F153" s="15"/>
      <c r="G153" s="15"/>
      <c r="H153" s="15"/>
      <c r="I153" s="17">
        <v>43944</v>
      </c>
      <c r="J153" s="17" t="s">
        <v>545</v>
      </c>
      <c r="K153" s="163" t="str">
        <f>VLOOKUP(C153,花名册!A:B,2)</f>
        <v>JG002120</v>
      </c>
    </row>
    <row r="154" spans="1:11" s="1" customFormat="1" ht="30" customHeight="1" x14ac:dyDescent="0.25">
      <c r="A154" s="1">
        <v>153</v>
      </c>
      <c r="B154" s="163" t="s">
        <v>2105</v>
      </c>
      <c r="C154" s="11" t="s">
        <v>235</v>
      </c>
      <c r="D154" s="28" t="s">
        <v>15</v>
      </c>
      <c r="E154" s="21" t="s">
        <v>27</v>
      </c>
      <c r="F154" s="15"/>
      <c r="G154" s="15"/>
      <c r="H154" s="15"/>
      <c r="I154" s="26">
        <v>45747</v>
      </c>
      <c r="J154" s="17" t="s">
        <v>165</v>
      </c>
      <c r="K154" s="163" t="str">
        <f>VLOOKUP(C154,花名册!A:B,2)</f>
        <v>JG000121</v>
      </c>
    </row>
    <row r="155" spans="1:11" s="1" customFormat="1" ht="30" customHeight="1" x14ac:dyDescent="0.25">
      <c r="A155" s="1">
        <v>154</v>
      </c>
      <c r="B155" s="163" t="s">
        <v>1672</v>
      </c>
      <c r="C155" s="15" t="s">
        <v>236</v>
      </c>
      <c r="D155" s="19" t="s">
        <v>15</v>
      </c>
      <c r="E155" s="16" t="s">
        <v>27</v>
      </c>
      <c r="F155" s="15"/>
      <c r="G155" s="15"/>
      <c r="H155" s="15"/>
      <c r="I155" s="17">
        <v>44018</v>
      </c>
      <c r="J155" s="17" t="s">
        <v>351</v>
      </c>
      <c r="K155" s="163" t="str">
        <f>VLOOKUP(C155,花名册!A:B,2)</f>
        <v>JG000874</v>
      </c>
    </row>
    <row r="156" spans="1:11" s="1" customFormat="1" ht="30" customHeight="1" x14ac:dyDescent="0.25">
      <c r="A156" s="1">
        <v>155</v>
      </c>
      <c r="B156" s="163" t="s">
        <v>3418</v>
      </c>
      <c r="C156" s="19" t="s">
        <v>238</v>
      </c>
      <c r="D156" s="19" t="s">
        <v>15</v>
      </c>
      <c r="E156" s="16" t="s">
        <v>27</v>
      </c>
      <c r="F156" s="15"/>
      <c r="G156" s="15"/>
      <c r="H156" s="15"/>
      <c r="I156" s="17">
        <v>44515</v>
      </c>
      <c r="J156" s="17" t="s">
        <v>88</v>
      </c>
      <c r="K156" s="163" t="str">
        <f>VLOOKUP(C156,花名册!A:B,2)</f>
        <v>JG910016</v>
      </c>
    </row>
    <row r="157" spans="1:11" s="1" customFormat="1" ht="30" customHeight="1" x14ac:dyDescent="0.25">
      <c r="A157" s="1">
        <v>156</v>
      </c>
      <c r="B157" s="163" t="s">
        <v>1174</v>
      </c>
      <c r="C157" s="21" t="s">
        <v>239</v>
      </c>
      <c r="D157" s="28" t="s">
        <v>15</v>
      </c>
      <c r="E157" s="21" t="s">
        <v>85</v>
      </c>
      <c r="F157" s="15"/>
      <c r="G157" s="15"/>
      <c r="H157" s="15"/>
      <c r="I157" s="70">
        <v>45957</v>
      </c>
      <c r="J157" s="17" t="s">
        <v>200</v>
      </c>
      <c r="K157" s="163" t="str">
        <f>VLOOKUP(C157,花名册!A:B,2)</f>
        <v>JG003178</v>
      </c>
    </row>
    <row r="158" spans="1:11" s="1" customFormat="1" ht="30" customHeight="1" x14ac:dyDescent="0.25">
      <c r="A158" s="1">
        <v>157</v>
      </c>
      <c r="B158" s="163" t="s">
        <v>2178</v>
      </c>
      <c r="C158" s="21" t="s">
        <v>241</v>
      </c>
      <c r="D158" s="28" t="s">
        <v>15</v>
      </c>
      <c r="E158" s="21" t="s">
        <v>27</v>
      </c>
      <c r="F158" s="15"/>
      <c r="G158" s="15"/>
      <c r="H158" s="15"/>
      <c r="I158" s="15"/>
      <c r="J158" s="17" t="s">
        <v>510</v>
      </c>
      <c r="K158" s="163" t="str">
        <f>VLOOKUP(C158,花名册!A:B,2)</f>
        <v>JG003112</v>
      </c>
    </row>
    <row r="159" spans="1:11" s="1" customFormat="1" ht="30" customHeight="1" x14ac:dyDescent="0.25">
      <c r="A159" s="1">
        <v>158</v>
      </c>
      <c r="B159" s="163" t="s">
        <v>1049</v>
      </c>
      <c r="C159" s="15" t="s">
        <v>242</v>
      </c>
      <c r="D159" s="15" t="s">
        <v>15</v>
      </c>
      <c r="E159" s="16" t="s">
        <v>27</v>
      </c>
      <c r="F159" s="15"/>
      <c r="G159" s="15"/>
      <c r="H159" s="15"/>
      <c r="I159" s="17">
        <v>44754</v>
      </c>
      <c r="J159" s="17" t="s">
        <v>344</v>
      </c>
      <c r="K159" s="163" t="str">
        <f>VLOOKUP(C159,花名册!A:B,2)</f>
        <v>JG001684</v>
      </c>
    </row>
    <row r="160" spans="1:11" s="1" customFormat="1" ht="30" customHeight="1" x14ac:dyDescent="0.25">
      <c r="A160" s="1">
        <v>159</v>
      </c>
      <c r="B160" s="163" t="s">
        <v>3420</v>
      </c>
      <c r="C160" s="19" t="s">
        <v>244</v>
      </c>
      <c r="D160" s="19" t="s">
        <v>15</v>
      </c>
      <c r="E160" s="16" t="s">
        <v>27</v>
      </c>
      <c r="F160" s="15"/>
      <c r="G160" s="15"/>
      <c r="H160" s="15"/>
      <c r="I160" s="17">
        <v>44348</v>
      </c>
      <c r="J160" s="17" t="s">
        <v>142</v>
      </c>
      <c r="K160" s="163" t="str">
        <f>VLOOKUP(C160,花名册!A:B,2)</f>
        <v>JG910018</v>
      </c>
    </row>
    <row r="161" spans="1:11" s="1" customFormat="1" ht="30" customHeight="1" x14ac:dyDescent="0.25">
      <c r="A161" s="1">
        <v>160</v>
      </c>
      <c r="B161" s="163" t="s">
        <v>3417</v>
      </c>
      <c r="C161" s="20" t="s">
        <v>245</v>
      </c>
      <c r="D161" s="28" t="s">
        <v>15</v>
      </c>
      <c r="E161" s="21" t="s">
        <v>85</v>
      </c>
      <c r="F161" s="15"/>
      <c r="G161" s="15"/>
      <c r="H161" s="15"/>
      <c r="I161" s="22">
        <v>46139</v>
      </c>
      <c r="J161" s="17" t="s">
        <v>441</v>
      </c>
      <c r="K161" s="163" t="str">
        <f>VLOOKUP(C161,花名册!A:B,2)</f>
        <v>JG910015</v>
      </c>
    </row>
    <row r="162" spans="1:11" s="1" customFormat="1" ht="30" customHeight="1" x14ac:dyDescent="0.25">
      <c r="A162" s="1">
        <v>161</v>
      </c>
      <c r="B162" s="163" t="s">
        <v>3420</v>
      </c>
      <c r="C162" s="15" t="s">
        <v>247</v>
      </c>
      <c r="D162" s="19" t="s">
        <v>15</v>
      </c>
      <c r="E162" s="16" t="s">
        <v>27</v>
      </c>
      <c r="F162" s="15"/>
      <c r="G162" s="15"/>
      <c r="H162" s="15"/>
      <c r="I162" s="17">
        <v>44010</v>
      </c>
      <c r="J162" s="17" t="s">
        <v>142</v>
      </c>
      <c r="K162" s="163" t="str">
        <f>VLOOKUP(C162,花名册!A:B,2)</f>
        <v>JG910018</v>
      </c>
    </row>
    <row r="163" spans="1:11" s="1" customFormat="1" ht="30" customHeight="1" x14ac:dyDescent="0.25">
      <c r="A163" s="1">
        <v>162</v>
      </c>
      <c r="B163" s="163" t="s">
        <v>2063</v>
      </c>
      <c r="C163" s="15" t="s">
        <v>248</v>
      </c>
      <c r="D163" s="19" t="s">
        <v>15</v>
      </c>
      <c r="E163" s="16" t="s">
        <v>27</v>
      </c>
      <c r="F163" s="15"/>
      <c r="G163" s="15"/>
      <c r="H163" s="15"/>
      <c r="I163" s="17">
        <v>44018</v>
      </c>
      <c r="J163" s="17" t="s">
        <v>126</v>
      </c>
      <c r="K163" s="163" t="str">
        <f>VLOOKUP(C163,花名册!A:B,2)</f>
        <v>JG002740</v>
      </c>
    </row>
    <row r="164" spans="1:11" s="1" customFormat="1" ht="30" customHeight="1" x14ac:dyDescent="0.25">
      <c r="A164" s="1">
        <v>163</v>
      </c>
      <c r="B164" s="163" t="s">
        <v>966</v>
      </c>
      <c r="C164" s="15" t="s">
        <v>250</v>
      </c>
      <c r="D164" s="19" t="s">
        <v>15</v>
      </c>
      <c r="E164" s="16" t="s">
        <v>27</v>
      </c>
      <c r="F164" s="15"/>
      <c r="G164" s="15"/>
      <c r="H164" s="15"/>
      <c r="I164" s="17">
        <v>42917</v>
      </c>
      <c r="J164" s="17" t="s">
        <v>90</v>
      </c>
      <c r="K164" s="163" t="str">
        <f>VLOOKUP(C164,花名册!A:B,2)</f>
        <v>JG002766</v>
      </c>
    </row>
    <row r="165" spans="1:11" s="1" customFormat="1" ht="30" customHeight="1" x14ac:dyDescent="0.25">
      <c r="A165" s="1">
        <v>164</v>
      </c>
      <c r="B165" s="163" t="s">
        <v>3420</v>
      </c>
      <c r="C165" s="15" t="s">
        <v>251</v>
      </c>
      <c r="D165" s="28" t="s">
        <v>15</v>
      </c>
      <c r="E165" s="21" t="s">
        <v>85</v>
      </c>
      <c r="F165" s="15"/>
      <c r="G165" s="15"/>
      <c r="H165" s="15"/>
      <c r="I165" s="83">
        <v>45904</v>
      </c>
      <c r="J165" s="17" t="s">
        <v>142</v>
      </c>
      <c r="K165" s="163" t="str">
        <f>VLOOKUP(C165,花名册!A:B,2)</f>
        <v>JG910018</v>
      </c>
    </row>
    <row r="166" spans="1:11" s="1" customFormat="1" ht="30" customHeight="1" x14ac:dyDescent="0.25">
      <c r="A166" s="1">
        <v>165</v>
      </c>
      <c r="B166" s="163" t="s">
        <v>3420</v>
      </c>
      <c r="C166" s="16" t="s">
        <v>253</v>
      </c>
      <c r="D166" s="19" t="s">
        <v>15</v>
      </c>
      <c r="E166" s="16" t="s">
        <v>85</v>
      </c>
      <c r="F166" s="19"/>
      <c r="G166" s="143"/>
      <c r="H166" s="19"/>
      <c r="I166" s="39">
        <v>46112</v>
      </c>
      <c r="J166" s="17" t="s">
        <v>142</v>
      </c>
      <c r="K166" s="163" t="str">
        <f>VLOOKUP(C166,花名册!A:B,2)</f>
        <v>JG910018</v>
      </c>
    </row>
    <row r="167" spans="1:11" s="1" customFormat="1" ht="30" customHeight="1" x14ac:dyDescent="0.25">
      <c r="A167" s="1">
        <v>166</v>
      </c>
      <c r="B167" s="163" t="s">
        <v>711</v>
      </c>
      <c r="C167" s="15" t="s">
        <v>254</v>
      </c>
      <c r="D167" s="19" t="s">
        <v>15</v>
      </c>
      <c r="E167" s="16" t="s">
        <v>27</v>
      </c>
      <c r="F167" s="15"/>
      <c r="G167" s="15"/>
      <c r="H167" s="15"/>
      <c r="I167" s="17">
        <v>44433</v>
      </c>
      <c r="J167" s="17" t="s">
        <v>306</v>
      </c>
      <c r="K167" s="163" t="str">
        <f>VLOOKUP(C167,花名册!A:B,2)</f>
        <v>JG000594</v>
      </c>
    </row>
    <row r="168" spans="1:11" s="1" customFormat="1" ht="30" customHeight="1" x14ac:dyDescent="0.25">
      <c r="A168" s="1">
        <v>167</v>
      </c>
      <c r="B168" s="163" t="s">
        <v>1652</v>
      </c>
      <c r="C168" s="19" t="s">
        <v>256</v>
      </c>
      <c r="D168" s="19" t="s">
        <v>19</v>
      </c>
      <c r="E168" s="16" t="s">
        <v>85</v>
      </c>
      <c r="F168" s="19"/>
      <c r="G168" s="143"/>
      <c r="H168" s="19"/>
      <c r="I168" s="19" t="s">
        <v>257</v>
      </c>
      <c r="J168" s="17" t="s">
        <v>130</v>
      </c>
      <c r="K168" s="163" t="str">
        <f>VLOOKUP(C168,花名册!A:B,2)</f>
        <v>JG002154</v>
      </c>
    </row>
    <row r="169" spans="1:11" s="1" customFormat="1" ht="30" customHeight="1" x14ac:dyDescent="0.25">
      <c r="A169" s="1">
        <v>168</v>
      </c>
      <c r="B169" s="163" t="s">
        <v>832</v>
      </c>
      <c r="C169" s="15" t="s">
        <v>258</v>
      </c>
      <c r="D169" s="19" t="s">
        <v>19</v>
      </c>
      <c r="E169" s="16" t="s">
        <v>27</v>
      </c>
      <c r="F169" s="15"/>
      <c r="G169" s="15"/>
      <c r="H169" s="15"/>
      <c r="I169" s="17">
        <v>44379</v>
      </c>
      <c r="J169" s="17" t="s">
        <v>580</v>
      </c>
      <c r="K169" s="163" t="str">
        <f>VLOOKUP(C169,花名册!A:B,2)</f>
        <v>JG002353</v>
      </c>
    </row>
    <row r="170" spans="1:11" s="1" customFormat="1" ht="30" customHeight="1" x14ac:dyDescent="0.25">
      <c r="A170" s="1">
        <v>169</v>
      </c>
      <c r="B170" s="163" t="s">
        <v>966</v>
      </c>
      <c r="C170" s="21" t="s">
        <v>260</v>
      </c>
      <c r="D170" s="28" t="s">
        <v>19</v>
      </c>
      <c r="E170" s="21" t="s">
        <v>85</v>
      </c>
      <c r="F170" s="87"/>
      <c r="G170" s="87"/>
      <c r="H170" s="87"/>
      <c r="I170" s="26">
        <v>46113</v>
      </c>
      <c r="J170" s="17" t="s">
        <v>90</v>
      </c>
      <c r="K170" s="163" t="str">
        <f>VLOOKUP(C170,花名册!A:B,2)</f>
        <v>JG002766</v>
      </c>
    </row>
    <row r="171" spans="1:11" s="1" customFormat="1" ht="30" customHeight="1" x14ac:dyDescent="0.25">
      <c r="A171" s="1">
        <v>170</v>
      </c>
      <c r="B171" s="163" t="s">
        <v>3420</v>
      </c>
      <c r="C171" s="15" t="s">
        <v>261</v>
      </c>
      <c r="D171" s="15" t="s">
        <v>19</v>
      </c>
      <c r="E171" s="16" t="s">
        <v>85</v>
      </c>
      <c r="F171" s="15"/>
      <c r="G171" s="15"/>
      <c r="H171" s="15"/>
      <c r="I171" s="83">
        <v>45837</v>
      </c>
      <c r="J171" s="17" t="s">
        <v>142</v>
      </c>
      <c r="K171" s="163" t="str">
        <f>VLOOKUP(C171,花名册!A:B,2)</f>
        <v>JG910018</v>
      </c>
    </row>
    <row r="172" spans="1:11" s="1" customFormat="1" ht="30" customHeight="1" x14ac:dyDescent="0.25">
      <c r="A172" s="1">
        <v>171</v>
      </c>
      <c r="B172" s="163" t="s">
        <v>2410</v>
      </c>
      <c r="C172" s="21" t="s">
        <v>263</v>
      </c>
      <c r="D172" s="21" t="s">
        <v>19</v>
      </c>
      <c r="E172" s="21" t="s">
        <v>16</v>
      </c>
      <c r="F172" s="19" t="s">
        <v>71</v>
      </c>
      <c r="G172" s="143"/>
      <c r="H172" s="19"/>
      <c r="I172" s="26">
        <v>46083</v>
      </c>
      <c r="J172" s="17" t="s">
        <v>262</v>
      </c>
      <c r="K172" s="163" t="str">
        <f>VLOOKUP(C172,花名册!A:B,2)</f>
        <v>JG003017</v>
      </c>
    </row>
    <row r="173" spans="1:11" s="1" customFormat="1" ht="30" customHeight="1" x14ac:dyDescent="0.25">
      <c r="A173" s="1">
        <v>172</v>
      </c>
      <c r="B173" s="163" t="s">
        <v>3419</v>
      </c>
      <c r="C173" s="61" t="s">
        <v>264</v>
      </c>
      <c r="D173" s="19" t="s">
        <v>19</v>
      </c>
      <c r="E173" s="16" t="s">
        <v>27</v>
      </c>
      <c r="F173" s="15"/>
      <c r="G173" s="15"/>
      <c r="H173" s="15"/>
      <c r="I173" s="17">
        <v>42430</v>
      </c>
      <c r="J173" s="17" t="s">
        <v>426</v>
      </c>
      <c r="K173" s="163" t="str">
        <f>VLOOKUP(C173,花名册!A:B,2)</f>
        <v>JG910017</v>
      </c>
    </row>
    <row r="174" spans="1:11" s="1" customFormat="1" ht="30" customHeight="1" x14ac:dyDescent="0.25">
      <c r="A174" s="1">
        <v>173</v>
      </c>
      <c r="B174" s="163" t="s">
        <v>884</v>
      </c>
      <c r="C174" s="68" t="s">
        <v>266</v>
      </c>
      <c r="D174" s="68" t="s">
        <v>19</v>
      </c>
      <c r="E174" s="16" t="s">
        <v>27</v>
      </c>
      <c r="F174" s="67"/>
      <c r="G174" s="67"/>
      <c r="H174" s="67"/>
      <c r="I174" s="26" t="s">
        <v>267</v>
      </c>
      <c r="J174" s="17" t="s">
        <v>421</v>
      </c>
      <c r="K174" s="163" t="str">
        <f>VLOOKUP(C174,花名册!A:B,2)</f>
        <v>JG001384</v>
      </c>
    </row>
    <row r="175" spans="1:11" s="1" customFormat="1" ht="30" customHeight="1" x14ac:dyDescent="0.25">
      <c r="A175" s="1">
        <v>174</v>
      </c>
      <c r="B175" s="163" t="s">
        <v>1834</v>
      </c>
      <c r="C175" s="28" t="s">
        <v>268</v>
      </c>
      <c r="D175" s="28" t="s">
        <v>19</v>
      </c>
      <c r="E175" s="21" t="s">
        <v>16</v>
      </c>
      <c r="F175" s="19" t="s">
        <v>71</v>
      </c>
      <c r="G175" s="143"/>
      <c r="H175" s="19"/>
      <c r="I175" s="26">
        <v>45915</v>
      </c>
      <c r="J175" s="17" t="s">
        <v>265</v>
      </c>
      <c r="K175" s="163" t="str">
        <f>VLOOKUP(C175,花名册!A:B,2)</f>
        <v>JG002864</v>
      </c>
    </row>
    <row r="176" spans="1:11" s="1" customFormat="1" ht="30" customHeight="1" x14ac:dyDescent="0.25">
      <c r="A176" s="1">
        <v>175</v>
      </c>
      <c r="B176" s="163" t="s">
        <v>1234</v>
      </c>
      <c r="C176" s="15" t="s">
        <v>270</v>
      </c>
      <c r="D176" s="19" t="s">
        <v>19</v>
      </c>
      <c r="E176" s="16" t="s">
        <v>27</v>
      </c>
      <c r="F176" s="15"/>
      <c r="G176" s="15"/>
      <c r="H176" s="15"/>
      <c r="I176" s="17">
        <v>43535</v>
      </c>
      <c r="J176" s="17" t="s">
        <v>384</v>
      </c>
      <c r="K176" s="163" t="str">
        <f>VLOOKUP(C176,花名册!A:B,2)</f>
        <v>JG001929</v>
      </c>
    </row>
    <row r="177" spans="1:11" s="1" customFormat="1" ht="30" customHeight="1" x14ac:dyDescent="0.25">
      <c r="A177" s="1">
        <v>176</v>
      </c>
      <c r="B177" s="163" t="s">
        <v>966</v>
      </c>
      <c r="C177" s="28" t="s">
        <v>271</v>
      </c>
      <c r="D177" s="28" t="s">
        <v>19</v>
      </c>
      <c r="E177" s="21" t="s">
        <v>27</v>
      </c>
      <c r="F177" s="19"/>
      <c r="G177" s="143"/>
      <c r="H177" s="19"/>
      <c r="I177" s="26">
        <v>45482</v>
      </c>
      <c r="J177" s="17" t="s">
        <v>90</v>
      </c>
      <c r="K177" s="163" t="str">
        <f>VLOOKUP(C177,花名册!A:B,2)</f>
        <v>JG002766</v>
      </c>
    </row>
    <row r="178" spans="1:11" s="1" customFormat="1" ht="30" customHeight="1" x14ac:dyDescent="0.25">
      <c r="A178" s="1">
        <v>177</v>
      </c>
      <c r="B178" s="163" t="s">
        <v>771</v>
      </c>
      <c r="C178" s="19" t="s">
        <v>273</v>
      </c>
      <c r="D178" s="19" t="s">
        <v>19</v>
      </c>
      <c r="E178" s="16" t="s">
        <v>27</v>
      </c>
      <c r="F178" s="15"/>
      <c r="G178" s="15"/>
      <c r="H178" s="15"/>
      <c r="I178" s="17">
        <v>43913</v>
      </c>
      <c r="J178" s="17" t="s">
        <v>185</v>
      </c>
      <c r="K178" s="163" t="str">
        <f>VLOOKUP(C178,花名册!A:B,2)</f>
        <v>JG000053</v>
      </c>
    </row>
    <row r="179" spans="1:11" s="1" customFormat="1" ht="30" customHeight="1" x14ac:dyDescent="0.25">
      <c r="A179" s="1">
        <v>178</v>
      </c>
      <c r="B179" s="163" t="s">
        <v>3420</v>
      </c>
      <c r="C179" s="61" t="s">
        <v>274</v>
      </c>
      <c r="D179" s="19" t="s">
        <v>19</v>
      </c>
      <c r="E179" s="16" t="s">
        <v>27</v>
      </c>
      <c r="F179" s="15"/>
      <c r="G179" s="15"/>
      <c r="H179" s="15"/>
      <c r="I179" s="17">
        <v>44019</v>
      </c>
      <c r="J179" s="17" t="s">
        <v>142</v>
      </c>
      <c r="K179" s="163" t="str">
        <f>VLOOKUP(C179,花名册!A:B,2)</f>
        <v>JG910018</v>
      </c>
    </row>
    <row r="180" spans="1:11" s="1" customFormat="1" ht="30" customHeight="1" x14ac:dyDescent="0.25">
      <c r="A180" s="1">
        <v>179</v>
      </c>
      <c r="B180" s="163" t="s">
        <v>3420</v>
      </c>
      <c r="C180" s="19" t="s">
        <v>276</v>
      </c>
      <c r="D180" s="28" t="s">
        <v>19</v>
      </c>
      <c r="E180" s="21" t="s">
        <v>85</v>
      </c>
      <c r="F180" s="28" t="s">
        <v>98</v>
      </c>
      <c r="G180" s="138"/>
      <c r="H180" s="28"/>
      <c r="I180" s="26">
        <v>46132</v>
      </c>
      <c r="J180" s="17" t="s">
        <v>142</v>
      </c>
      <c r="K180" s="163" t="str">
        <f>VLOOKUP(C180,花名册!A:B,2)</f>
        <v>JG910018</v>
      </c>
    </row>
    <row r="181" spans="1:11" s="1" customFormat="1" ht="30" customHeight="1" x14ac:dyDescent="0.25">
      <c r="A181" s="1">
        <v>180</v>
      </c>
      <c r="B181" s="163" t="s">
        <v>2262</v>
      </c>
      <c r="C181" s="28" t="s">
        <v>277</v>
      </c>
      <c r="D181" s="28" t="s">
        <v>19</v>
      </c>
      <c r="E181" s="21" t="s">
        <v>85</v>
      </c>
      <c r="F181" s="19"/>
      <c r="G181" s="143"/>
      <c r="H181" s="19"/>
      <c r="I181" s="26">
        <v>45955</v>
      </c>
      <c r="J181" s="17" t="s">
        <v>474</v>
      </c>
      <c r="K181" s="163" t="str">
        <f>VLOOKUP(C181,花名册!A:B,2)</f>
        <v>JG002089</v>
      </c>
    </row>
    <row r="182" spans="1:11" s="1" customFormat="1" ht="30" customHeight="1" x14ac:dyDescent="0.25">
      <c r="A182" s="1">
        <v>181</v>
      </c>
      <c r="B182" s="163" t="s">
        <v>2394</v>
      </c>
      <c r="C182" s="15" t="s">
        <v>279</v>
      </c>
      <c r="D182" s="19" t="s">
        <v>19</v>
      </c>
      <c r="E182" s="16" t="s">
        <v>280</v>
      </c>
      <c r="F182" s="15"/>
      <c r="G182" s="15"/>
      <c r="H182" s="15"/>
      <c r="I182" s="17">
        <v>43550</v>
      </c>
      <c r="J182" s="17" t="s">
        <v>474</v>
      </c>
      <c r="K182" s="163" t="str">
        <f>VLOOKUP(C182,花名册!A:B,2)</f>
        <v>JG002096</v>
      </c>
    </row>
    <row r="183" spans="1:11" s="1" customFormat="1" ht="30" customHeight="1" x14ac:dyDescent="0.25">
      <c r="A183" s="1">
        <v>182</v>
      </c>
      <c r="B183" s="163" t="s">
        <v>3420</v>
      </c>
      <c r="C183" s="19" t="s">
        <v>281</v>
      </c>
      <c r="D183" s="19" t="s">
        <v>19</v>
      </c>
      <c r="E183" s="16" t="s">
        <v>27</v>
      </c>
      <c r="F183" s="15"/>
      <c r="G183" s="15"/>
      <c r="H183" s="15"/>
      <c r="I183" s="17">
        <v>44025</v>
      </c>
      <c r="J183" s="17" t="s">
        <v>142</v>
      </c>
      <c r="K183" s="163" t="str">
        <f>VLOOKUP(C183,花名册!A:B,2)</f>
        <v>JG910018</v>
      </c>
    </row>
    <row r="184" spans="1:11" s="1" customFormat="1" ht="30" customHeight="1" x14ac:dyDescent="0.25">
      <c r="A184" s="1">
        <v>183</v>
      </c>
      <c r="B184" s="163" t="s">
        <v>3420</v>
      </c>
      <c r="C184" s="15" t="s">
        <v>283</v>
      </c>
      <c r="D184" s="19" t="s">
        <v>15</v>
      </c>
      <c r="E184" s="16" t="s">
        <v>92</v>
      </c>
      <c r="F184" s="15"/>
      <c r="G184" s="15"/>
      <c r="H184" s="15"/>
      <c r="I184" s="17">
        <v>41401</v>
      </c>
      <c r="J184" s="17" t="s">
        <v>142</v>
      </c>
      <c r="K184" s="163" t="str">
        <f>VLOOKUP(C184,花名册!A:B,2)</f>
        <v>JG910018</v>
      </c>
    </row>
    <row r="185" spans="1:11" s="1" customFormat="1" ht="30" customHeight="1" x14ac:dyDescent="0.25">
      <c r="A185" s="1">
        <v>184</v>
      </c>
      <c r="B185" s="163" t="s">
        <v>1784</v>
      </c>
      <c r="C185" s="61" t="s">
        <v>284</v>
      </c>
      <c r="D185" s="19" t="s">
        <v>15</v>
      </c>
      <c r="E185" s="16" t="s">
        <v>16</v>
      </c>
      <c r="F185" s="15"/>
      <c r="G185" s="15"/>
      <c r="H185" s="15"/>
      <c r="I185" s="17">
        <v>42035</v>
      </c>
      <c r="J185" s="17" t="s">
        <v>282</v>
      </c>
      <c r="K185" s="163" t="str">
        <f>VLOOKUP(C185,花名册!A:B,2)</f>
        <v>JG000045</v>
      </c>
    </row>
    <row r="186" spans="1:11" s="1" customFormat="1" ht="30" customHeight="1" x14ac:dyDescent="0.25">
      <c r="A186" s="1">
        <v>185</v>
      </c>
      <c r="B186" s="163" t="s">
        <v>890</v>
      </c>
      <c r="C186" s="15" t="s">
        <v>286</v>
      </c>
      <c r="D186" s="19" t="s">
        <v>15</v>
      </c>
      <c r="E186" s="16" t="s">
        <v>92</v>
      </c>
      <c r="F186" s="15"/>
      <c r="G186" s="15"/>
      <c r="H186" s="15"/>
      <c r="I186" s="17">
        <v>43222</v>
      </c>
      <c r="J186" s="17" t="s">
        <v>285</v>
      </c>
      <c r="K186" s="163" t="str">
        <f>VLOOKUP(C186,花名册!A:B,2)</f>
        <v>JG000097</v>
      </c>
    </row>
    <row r="187" spans="1:11" s="1" customFormat="1" ht="30" customHeight="1" x14ac:dyDescent="0.25">
      <c r="A187" s="1">
        <v>186</v>
      </c>
      <c r="B187" s="163" t="s">
        <v>3418</v>
      </c>
      <c r="C187" s="15" t="s">
        <v>287</v>
      </c>
      <c r="D187" s="19" t="s">
        <v>15</v>
      </c>
      <c r="E187" s="16" t="s">
        <v>92</v>
      </c>
      <c r="F187" s="15"/>
      <c r="G187" s="15"/>
      <c r="H187" s="15"/>
      <c r="I187" s="17">
        <v>43901</v>
      </c>
      <c r="J187" s="17" t="s">
        <v>88</v>
      </c>
      <c r="K187" s="163" t="str">
        <f>VLOOKUP(C187,花名册!A:B,2)</f>
        <v>JG910016</v>
      </c>
    </row>
    <row r="188" spans="1:11" s="1" customFormat="1" ht="30" customHeight="1" x14ac:dyDescent="0.25">
      <c r="A188" s="1">
        <v>187</v>
      </c>
      <c r="B188" s="163" t="s">
        <v>1568</v>
      </c>
      <c r="C188" s="15" t="s">
        <v>289</v>
      </c>
      <c r="D188" s="19" t="s">
        <v>15</v>
      </c>
      <c r="E188" s="16" t="s">
        <v>92</v>
      </c>
      <c r="F188" s="15"/>
      <c r="G188" s="15"/>
      <c r="H188" s="15"/>
      <c r="I188" s="17">
        <v>44784</v>
      </c>
      <c r="J188" s="17" t="s">
        <v>288</v>
      </c>
      <c r="K188" s="163" t="str">
        <f>VLOOKUP(C188,花名册!A:B,2)</f>
        <v>JG001018</v>
      </c>
    </row>
    <row r="189" spans="1:11" s="1" customFormat="1" ht="30" customHeight="1" x14ac:dyDescent="0.25">
      <c r="A189" s="1">
        <v>188</v>
      </c>
      <c r="B189" s="163" t="s">
        <v>1552</v>
      </c>
      <c r="C189" s="19" t="s">
        <v>290</v>
      </c>
      <c r="D189" s="19" t="s">
        <v>15</v>
      </c>
      <c r="E189" s="88" t="s">
        <v>92</v>
      </c>
      <c r="F189" s="19"/>
      <c r="G189" s="143"/>
      <c r="H189" s="19"/>
      <c r="I189" s="89">
        <v>45838</v>
      </c>
      <c r="J189" s="17" t="s">
        <v>288</v>
      </c>
      <c r="K189" s="163" t="str">
        <f>VLOOKUP(C189,花名册!A:B,2)</f>
        <v>JG000984</v>
      </c>
    </row>
    <row r="190" spans="1:11" s="1" customFormat="1" ht="30" customHeight="1" x14ac:dyDescent="0.25">
      <c r="A190" s="1">
        <v>189</v>
      </c>
      <c r="B190" s="163" t="s">
        <v>1705</v>
      </c>
      <c r="C190" s="19" t="s">
        <v>292</v>
      </c>
      <c r="D190" s="19" t="s">
        <v>15</v>
      </c>
      <c r="E190" s="16" t="s">
        <v>92</v>
      </c>
      <c r="F190" s="15"/>
      <c r="G190" s="15"/>
      <c r="H190" s="15"/>
      <c r="I190" s="17">
        <v>44523</v>
      </c>
      <c r="J190" s="17" t="s">
        <v>291</v>
      </c>
      <c r="K190" s="163" t="str">
        <f>VLOOKUP(C190,花名册!A:B,2)</f>
        <v>JG000503</v>
      </c>
    </row>
    <row r="191" spans="1:11" s="1" customFormat="1" ht="30" customHeight="1" x14ac:dyDescent="0.25">
      <c r="A191" s="1">
        <v>190</v>
      </c>
      <c r="B191" s="163" t="s">
        <v>808</v>
      </c>
      <c r="C191" s="19" t="s">
        <v>293</v>
      </c>
      <c r="D191" s="19" t="s">
        <v>15</v>
      </c>
      <c r="E191" s="16" t="s">
        <v>92</v>
      </c>
      <c r="F191" s="15"/>
      <c r="G191" s="15"/>
      <c r="H191" s="15"/>
      <c r="I191" s="17">
        <v>44454</v>
      </c>
      <c r="J191" s="17" t="s">
        <v>133</v>
      </c>
      <c r="K191" s="163" t="str">
        <f>VLOOKUP(C191,花名册!A:B,2)</f>
        <v>JG002597</v>
      </c>
    </row>
    <row r="192" spans="1:11" s="1" customFormat="1" ht="30" customHeight="1" x14ac:dyDescent="0.25">
      <c r="A192" s="1">
        <v>191</v>
      </c>
      <c r="B192" s="163" t="s">
        <v>1129</v>
      </c>
      <c r="C192" s="15" t="s">
        <v>295</v>
      </c>
      <c r="D192" s="19" t="s">
        <v>15</v>
      </c>
      <c r="E192" s="16" t="s">
        <v>27</v>
      </c>
      <c r="F192" s="15"/>
      <c r="G192" s="15"/>
      <c r="H192" s="15"/>
      <c r="I192" s="17">
        <v>44466</v>
      </c>
      <c r="J192" s="17" t="s">
        <v>510</v>
      </c>
      <c r="K192" s="163" t="str">
        <f>VLOOKUP(C192,花名册!A:B,2)</f>
        <v>JG003113</v>
      </c>
    </row>
    <row r="193" spans="1:11" s="1" customFormat="1" ht="30" customHeight="1" x14ac:dyDescent="0.25">
      <c r="A193" s="1">
        <v>192</v>
      </c>
      <c r="B193" s="163" t="s">
        <v>3418</v>
      </c>
      <c r="C193" s="15" t="s">
        <v>296</v>
      </c>
      <c r="D193" s="15" t="s">
        <v>15</v>
      </c>
      <c r="E193" s="16" t="s">
        <v>27</v>
      </c>
      <c r="F193" s="15"/>
      <c r="G193" s="15"/>
      <c r="H193" s="15"/>
      <c r="I193" s="17">
        <v>44739</v>
      </c>
      <c r="J193" s="17" t="s">
        <v>88</v>
      </c>
      <c r="K193" s="163" t="str">
        <f>VLOOKUP(C193,花名册!A:B,2)</f>
        <v>JG910016</v>
      </c>
    </row>
    <row r="194" spans="1:11" s="1" customFormat="1" ht="30" customHeight="1" x14ac:dyDescent="0.25">
      <c r="A194" s="1">
        <v>193</v>
      </c>
      <c r="B194" s="163" t="s">
        <v>3420</v>
      </c>
      <c r="C194" s="15" t="s">
        <v>298</v>
      </c>
      <c r="D194" s="19" t="s">
        <v>15</v>
      </c>
      <c r="E194" s="16" t="s">
        <v>92</v>
      </c>
      <c r="F194" s="15"/>
      <c r="G194" s="15"/>
      <c r="H194" s="15"/>
      <c r="I194" s="17">
        <v>41371</v>
      </c>
      <c r="J194" s="17" t="s">
        <v>142</v>
      </c>
      <c r="K194" s="163" t="str">
        <f>VLOOKUP(C194,花名册!A:B,2)</f>
        <v>JG910018</v>
      </c>
    </row>
    <row r="195" spans="1:11" s="1" customFormat="1" ht="30" customHeight="1" x14ac:dyDescent="0.25">
      <c r="A195" s="1">
        <v>194</v>
      </c>
      <c r="B195" s="163" t="s">
        <v>3420</v>
      </c>
      <c r="C195" s="15" t="s">
        <v>299</v>
      </c>
      <c r="D195" s="19" t="s">
        <v>15</v>
      </c>
      <c r="E195" s="16" t="s">
        <v>92</v>
      </c>
      <c r="F195" s="15"/>
      <c r="G195" s="15"/>
      <c r="H195" s="15"/>
      <c r="I195" s="17">
        <v>43161</v>
      </c>
      <c r="J195" s="17" t="s">
        <v>142</v>
      </c>
      <c r="K195" s="163" t="str">
        <f>VLOOKUP(C195,花名册!A:B,2)</f>
        <v>JG910018</v>
      </c>
    </row>
    <row r="196" spans="1:11" s="1" customFormat="1" ht="30" customHeight="1" x14ac:dyDescent="0.25">
      <c r="A196" s="1">
        <v>195</v>
      </c>
      <c r="B196" s="163" t="s">
        <v>1019</v>
      </c>
      <c r="C196" s="15" t="s">
        <v>301</v>
      </c>
      <c r="D196" s="19" t="s">
        <v>15</v>
      </c>
      <c r="E196" s="16" t="s">
        <v>27</v>
      </c>
      <c r="F196" s="15"/>
      <c r="G196" s="15"/>
      <c r="H196" s="15"/>
      <c r="I196" s="17">
        <v>44998</v>
      </c>
      <c r="J196" s="17" t="s">
        <v>335</v>
      </c>
      <c r="K196" s="163" t="str">
        <f>VLOOKUP(C196,花名册!A:B,2)</f>
        <v>JG002980</v>
      </c>
    </row>
    <row r="197" spans="1:11" s="1" customFormat="1" ht="30" customHeight="1" x14ac:dyDescent="0.25">
      <c r="A197" s="1">
        <v>196</v>
      </c>
      <c r="B197" s="163" t="s">
        <v>1030</v>
      </c>
      <c r="C197" s="11" t="s">
        <v>302</v>
      </c>
      <c r="D197" s="19" t="s">
        <v>15</v>
      </c>
      <c r="E197" s="16" t="s">
        <v>92</v>
      </c>
      <c r="F197" s="15"/>
      <c r="G197" s="15"/>
      <c r="H197" s="15"/>
      <c r="I197" s="26">
        <v>45834</v>
      </c>
      <c r="J197" s="17" t="s">
        <v>300</v>
      </c>
      <c r="K197" s="163" t="str">
        <f>VLOOKUP(C197,花名册!A:B,2)</f>
        <v>JG002628</v>
      </c>
    </row>
    <row r="198" spans="1:11" s="1" customFormat="1" ht="30" customHeight="1" x14ac:dyDescent="0.25">
      <c r="A198" s="1">
        <v>197</v>
      </c>
      <c r="B198" s="163" t="s">
        <v>2297</v>
      </c>
      <c r="C198" s="61" t="s">
        <v>304</v>
      </c>
      <c r="D198" s="63" t="s">
        <v>19</v>
      </c>
      <c r="E198" s="73" t="s">
        <v>27</v>
      </c>
      <c r="F198" s="15"/>
      <c r="G198" s="15"/>
      <c r="H198" s="15"/>
      <c r="I198" s="32">
        <v>45477</v>
      </c>
      <c r="J198" s="17" t="s">
        <v>43</v>
      </c>
      <c r="K198" s="163" t="str">
        <f>VLOOKUP(C198,花名册!A:B,2)</f>
        <v>JG002736</v>
      </c>
    </row>
    <row r="199" spans="1:11" s="1" customFormat="1" ht="30" customHeight="1" x14ac:dyDescent="0.25">
      <c r="A199" s="1">
        <v>198</v>
      </c>
      <c r="B199" s="163" t="s">
        <v>2471</v>
      </c>
      <c r="C199" s="19" t="s">
        <v>305</v>
      </c>
      <c r="D199" s="28" t="s">
        <v>19</v>
      </c>
      <c r="E199" s="21" t="s">
        <v>85</v>
      </c>
      <c r="F199" s="19"/>
      <c r="G199" s="143"/>
      <c r="H199" s="19"/>
      <c r="I199" s="26">
        <v>45474</v>
      </c>
      <c r="J199" s="17" t="s">
        <v>79</v>
      </c>
      <c r="K199" s="163" t="str">
        <f>VLOOKUP(C199,花名册!A:B,2)</f>
        <v>JG002025</v>
      </c>
    </row>
    <row r="200" spans="1:11" s="1" customFormat="1" ht="30" customHeight="1" x14ac:dyDescent="0.25">
      <c r="A200" s="1">
        <v>199</v>
      </c>
      <c r="B200" s="163" t="s">
        <v>1293</v>
      </c>
      <c r="C200" s="15" t="s">
        <v>307</v>
      </c>
      <c r="D200" s="19" t="s">
        <v>15</v>
      </c>
      <c r="E200" s="16" t="s">
        <v>308</v>
      </c>
      <c r="F200" s="15"/>
      <c r="G200" s="15"/>
      <c r="H200" s="15"/>
      <c r="I200" s="17">
        <v>42416</v>
      </c>
      <c r="J200" s="17" t="s">
        <v>556</v>
      </c>
      <c r="K200" s="163" t="str">
        <f>VLOOKUP(C200,花名册!A:B,2)</f>
        <v>JG001131</v>
      </c>
    </row>
    <row r="201" spans="1:11" s="1" customFormat="1" ht="30" customHeight="1" x14ac:dyDescent="0.25">
      <c r="A201" s="1">
        <v>200</v>
      </c>
      <c r="B201" s="163" t="s">
        <v>711</v>
      </c>
      <c r="C201" s="19" t="s">
        <v>309</v>
      </c>
      <c r="D201" s="81" t="s">
        <v>15</v>
      </c>
      <c r="E201" s="16" t="s">
        <v>16</v>
      </c>
      <c r="F201" s="15" t="s">
        <v>71</v>
      </c>
      <c r="G201" s="15"/>
      <c r="H201" s="15"/>
      <c r="I201" s="17">
        <v>44578</v>
      </c>
      <c r="J201" s="17" t="s">
        <v>306</v>
      </c>
      <c r="K201" s="163" t="str">
        <f>VLOOKUP(C201,花名册!A:B,2)</f>
        <v>JG000594</v>
      </c>
    </row>
    <row r="202" spans="1:11" s="1" customFormat="1" ht="30" customHeight="1" x14ac:dyDescent="0.25">
      <c r="A202" s="1">
        <v>201</v>
      </c>
      <c r="B202" s="163" t="s">
        <v>3420</v>
      </c>
      <c r="C202" s="90" t="s">
        <v>311</v>
      </c>
      <c r="D202" s="28" t="s">
        <v>15</v>
      </c>
      <c r="E202" s="21" t="s">
        <v>85</v>
      </c>
      <c r="F202" s="19"/>
      <c r="G202" s="143"/>
      <c r="H202" s="19"/>
      <c r="I202" s="26">
        <v>45474</v>
      </c>
      <c r="J202" s="17" t="s">
        <v>142</v>
      </c>
      <c r="K202" s="163" t="str">
        <f>VLOOKUP(C202,花名册!A:B,2)</f>
        <v>JG910018</v>
      </c>
    </row>
    <row r="203" spans="1:11" s="1" customFormat="1" ht="30" customHeight="1" x14ac:dyDescent="0.25">
      <c r="A203" s="1">
        <v>202</v>
      </c>
      <c r="B203" s="163" t="e">
        <v>#N/A</v>
      </c>
      <c r="C203" s="15" t="s">
        <v>312</v>
      </c>
      <c r="D203" s="15" t="s">
        <v>15</v>
      </c>
      <c r="E203" s="16" t="s">
        <v>85</v>
      </c>
      <c r="F203" s="15"/>
      <c r="G203" s="15"/>
      <c r="H203" s="15"/>
      <c r="I203" s="39">
        <v>45469</v>
      </c>
      <c r="J203" s="17" t="e">
        <v>#N/A</v>
      </c>
      <c r="K203" s="163" t="e">
        <f>VLOOKUP(C203,花名册!A:B,2)</f>
        <v>#N/A</v>
      </c>
    </row>
    <row r="204" spans="1:11" s="1" customFormat="1" ht="30" customHeight="1" x14ac:dyDescent="0.25">
      <c r="A204" s="1">
        <v>203</v>
      </c>
      <c r="B204" s="163" t="s">
        <v>2385</v>
      </c>
      <c r="C204" s="52" t="s">
        <v>314</v>
      </c>
      <c r="D204" s="52" t="s">
        <v>19</v>
      </c>
      <c r="E204" s="52" t="s">
        <v>64</v>
      </c>
      <c r="F204" s="52"/>
      <c r="G204" s="52"/>
      <c r="H204" s="52"/>
      <c r="I204" s="70">
        <v>46024</v>
      </c>
      <c r="J204" s="17" t="s">
        <v>495</v>
      </c>
      <c r="K204" s="163" t="str">
        <f>VLOOKUP(C204,花名册!A:B,2)</f>
        <v>JG001217</v>
      </c>
    </row>
    <row r="205" spans="1:11" s="1" customFormat="1" ht="30" customHeight="1" x14ac:dyDescent="0.25">
      <c r="A205" s="1">
        <v>204</v>
      </c>
      <c r="B205" s="163" t="e">
        <v>#N/A</v>
      </c>
      <c r="C205" s="62"/>
      <c r="D205" s="62"/>
      <c r="E205" s="27"/>
      <c r="F205" s="43"/>
      <c r="G205" s="43"/>
      <c r="H205" s="43"/>
      <c r="I205" s="45"/>
      <c r="J205" s="17" t="e">
        <v>#N/A</v>
      </c>
      <c r="K205" s="163" t="e">
        <f>VLOOKUP(C205,花名册!A:B,2)</f>
        <v>#N/A</v>
      </c>
    </row>
    <row r="206" spans="1:11" s="1" customFormat="1" ht="30" customHeight="1" x14ac:dyDescent="0.25">
      <c r="A206" s="1">
        <v>205</v>
      </c>
      <c r="B206" s="163" t="s">
        <v>2014</v>
      </c>
      <c r="C206" s="19" t="s">
        <v>316</v>
      </c>
      <c r="D206" s="19" t="s">
        <v>15</v>
      </c>
      <c r="E206" s="16" t="s">
        <v>27</v>
      </c>
      <c r="F206" s="15"/>
      <c r="G206" s="15"/>
      <c r="H206" s="15"/>
      <c r="I206" s="17">
        <v>44391</v>
      </c>
      <c r="J206" s="17" t="s">
        <v>278</v>
      </c>
      <c r="K206" s="163" t="str">
        <f>VLOOKUP(C206,花名册!A:B,2)</f>
        <v>JG000191</v>
      </c>
    </row>
    <row r="207" spans="1:11" s="3" customFormat="1" ht="30" customHeight="1" x14ac:dyDescent="0.25">
      <c r="A207" s="1">
        <v>206</v>
      </c>
      <c r="B207" s="163" t="s">
        <v>1300</v>
      </c>
      <c r="C207" s="52" t="s">
        <v>317</v>
      </c>
      <c r="D207" s="28" t="s">
        <v>15</v>
      </c>
      <c r="E207" s="21"/>
      <c r="F207" s="15"/>
      <c r="G207" s="15"/>
      <c r="H207" s="15"/>
      <c r="I207" s="70">
        <v>46149</v>
      </c>
      <c r="J207" s="17" t="s">
        <v>315</v>
      </c>
      <c r="K207" s="163" t="str">
        <f>VLOOKUP(C207,花名册!A:B,2)</f>
        <v>JG003152</v>
      </c>
    </row>
    <row r="208" spans="1:11" s="1" customFormat="1" ht="30" customHeight="1" x14ac:dyDescent="0.25">
      <c r="A208" s="1">
        <v>207</v>
      </c>
      <c r="B208" s="163" t="e">
        <v>#N/A</v>
      </c>
      <c r="C208" s="19"/>
      <c r="D208" s="28"/>
      <c r="E208" s="21"/>
      <c r="F208" s="28"/>
      <c r="G208" s="138"/>
      <c r="H208" s="28"/>
      <c r="I208" s="26"/>
      <c r="J208" s="17" t="e">
        <v>#N/A</v>
      </c>
      <c r="K208" s="163" t="e">
        <f>VLOOKUP(C208,花名册!A:B,2)</f>
        <v>#N/A</v>
      </c>
    </row>
    <row r="209" spans="1:11" s="1" customFormat="1" ht="30" customHeight="1" x14ac:dyDescent="0.25">
      <c r="A209" s="1">
        <v>208</v>
      </c>
      <c r="B209" s="163" t="s">
        <v>1367</v>
      </c>
      <c r="C209" s="20" t="s">
        <v>319</v>
      </c>
      <c r="D209" s="28" t="s">
        <v>15</v>
      </c>
      <c r="E209" s="20" t="s">
        <v>16</v>
      </c>
      <c r="F209" s="20" t="s">
        <v>74</v>
      </c>
      <c r="G209" s="145"/>
      <c r="H209" s="20"/>
      <c r="I209" s="22">
        <v>45846</v>
      </c>
      <c r="J209" s="17" t="s">
        <v>318</v>
      </c>
      <c r="K209" s="163" t="str">
        <f>VLOOKUP(C209,花名册!A:B,2)</f>
        <v>JG002715</v>
      </c>
    </row>
    <row r="210" spans="1:11" s="1" customFormat="1" ht="30" customHeight="1" x14ac:dyDescent="0.25">
      <c r="A210" s="1">
        <v>209</v>
      </c>
      <c r="B210" s="163" t="s">
        <v>3417</v>
      </c>
      <c r="C210" s="20" t="s">
        <v>321</v>
      </c>
      <c r="D210" s="20" t="s">
        <v>15</v>
      </c>
      <c r="E210" s="20" t="s">
        <v>85</v>
      </c>
      <c r="F210" s="73"/>
      <c r="G210" s="73"/>
      <c r="H210" s="73"/>
      <c r="I210" s="32">
        <v>46027</v>
      </c>
      <c r="J210" s="17" t="s">
        <v>441</v>
      </c>
      <c r="K210" s="163" t="str">
        <f>VLOOKUP(C210,花名册!A:B,2)</f>
        <v>JG910015</v>
      </c>
    </row>
    <row r="211" spans="1:11" s="1" customFormat="1" ht="30" customHeight="1" x14ac:dyDescent="0.25">
      <c r="A211" s="1">
        <v>210</v>
      </c>
      <c r="B211" s="163" t="e">
        <v>#N/A</v>
      </c>
      <c r="C211" s="16"/>
      <c r="D211" s="16"/>
      <c r="E211" s="16"/>
      <c r="F211" s="16"/>
      <c r="G211" s="16"/>
      <c r="H211" s="16"/>
      <c r="I211" s="17"/>
      <c r="J211" s="17" t="e">
        <v>#N/A</v>
      </c>
      <c r="K211" s="163" t="e">
        <f>VLOOKUP(C211,花名册!A:B,2)</f>
        <v>#N/A</v>
      </c>
    </row>
    <row r="212" spans="1:11" s="1" customFormat="1" ht="30" customHeight="1" x14ac:dyDescent="0.25">
      <c r="A212" s="1">
        <v>211</v>
      </c>
      <c r="B212" s="163" t="s">
        <v>3418</v>
      </c>
      <c r="C212" s="36" t="s">
        <v>323</v>
      </c>
      <c r="D212" s="14" t="s">
        <v>15</v>
      </c>
      <c r="E212" s="59" t="s">
        <v>92</v>
      </c>
      <c r="F212" s="36"/>
      <c r="G212" s="139"/>
      <c r="H212" s="36"/>
      <c r="I212" s="14"/>
      <c r="J212" s="17" t="s">
        <v>88</v>
      </c>
      <c r="K212" s="163" t="str">
        <f>VLOOKUP(C212,花名册!A:B,2)</f>
        <v>JG910016</v>
      </c>
    </row>
    <row r="213" spans="1:11" s="1" customFormat="1" ht="30" customHeight="1" x14ac:dyDescent="0.25">
      <c r="A213" s="1">
        <v>212</v>
      </c>
      <c r="B213" s="163" t="s">
        <v>1966</v>
      </c>
      <c r="C213" s="93" t="s">
        <v>325</v>
      </c>
      <c r="D213" s="14" t="s">
        <v>15</v>
      </c>
      <c r="E213" s="31" t="s">
        <v>64</v>
      </c>
      <c r="F213" s="36"/>
      <c r="G213" s="139"/>
      <c r="H213" s="36"/>
      <c r="I213" s="94">
        <v>46195</v>
      </c>
      <c r="J213" s="17" t="s">
        <v>197</v>
      </c>
      <c r="K213" s="163" t="str">
        <f>VLOOKUP(C213,花名册!A:B,2)</f>
        <v>JG001829</v>
      </c>
    </row>
    <row r="214" spans="1:11" s="1" customFormat="1" ht="30" customHeight="1" x14ac:dyDescent="0.25">
      <c r="A214" s="1">
        <v>213</v>
      </c>
      <c r="B214" s="163" t="s">
        <v>1971</v>
      </c>
      <c r="C214" s="52" t="s">
        <v>328</v>
      </c>
      <c r="D214" s="28" t="s">
        <v>15</v>
      </c>
      <c r="E214" s="21" t="s">
        <v>16</v>
      </c>
      <c r="F214" s="15"/>
      <c r="G214" s="15"/>
      <c r="H214" s="15"/>
      <c r="I214" s="70">
        <v>45819</v>
      </c>
      <c r="J214" s="17" t="s">
        <v>327</v>
      </c>
      <c r="K214" s="163" t="str">
        <f>VLOOKUP(C214,花名册!A:B,2)</f>
        <v>JG002753</v>
      </c>
    </row>
    <row r="215" spans="1:11" s="1" customFormat="1" ht="30" customHeight="1" x14ac:dyDescent="0.25">
      <c r="A215" s="1">
        <v>214</v>
      </c>
      <c r="B215" s="163" t="s">
        <v>2341</v>
      </c>
      <c r="C215" s="68" t="s">
        <v>329</v>
      </c>
      <c r="D215" s="95" t="s">
        <v>15</v>
      </c>
      <c r="E215" s="21" t="s">
        <v>16</v>
      </c>
      <c r="F215" s="67" t="s">
        <v>330</v>
      </c>
      <c r="G215" s="67"/>
      <c r="H215" s="67"/>
      <c r="I215" s="89">
        <v>45754</v>
      </c>
      <c r="J215" s="17" t="s">
        <v>327</v>
      </c>
      <c r="K215" s="163" t="str">
        <f>VLOOKUP(C215,花名册!A:B,2)</f>
        <v>JG002641</v>
      </c>
    </row>
    <row r="216" spans="1:11" s="1" customFormat="1" ht="30" customHeight="1" x14ac:dyDescent="0.25">
      <c r="A216" s="1">
        <v>215</v>
      </c>
      <c r="B216" s="163" t="s">
        <v>3417</v>
      </c>
      <c r="C216" s="20" t="s">
        <v>332</v>
      </c>
      <c r="D216" s="78" t="s">
        <v>15</v>
      </c>
      <c r="E216" s="20" t="s">
        <v>333</v>
      </c>
      <c r="F216" s="20"/>
      <c r="G216" s="145"/>
      <c r="H216" s="20"/>
      <c r="I216" s="22">
        <v>45895</v>
      </c>
      <c r="J216" s="17" t="s">
        <v>441</v>
      </c>
      <c r="K216" s="163" t="str">
        <f>VLOOKUP(C216,花名册!A:B,2)</f>
        <v>JG910015</v>
      </c>
    </row>
    <row r="217" spans="1:11" s="1" customFormat="1" ht="30" customHeight="1" x14ac:dyDescent="0.25">
      <c r="A217" s="1">
        <v>216</v>
      </c>
      <c r="B217" s="163" t="s">
        <v>1019</v>
      </c>
      <c r="C217" s="42" t="s">
        <v>334</v>
      </c>
      <c r="D217" s="19" t="s">
        <v>15</v>
      </c>
      <c r="E217" s="16" t="s">
        <v>114</v>
      </c>
      <c r="F217" s="15"/>
      <c r="G217" s="15"/>
      <c r="H217" s="15"/>
      <c r="I217" s="96">
        <v>45586</v>
      </c>
      <c r="J217" s="17" t="s">
        <v>335</v>
      </c>
      <c r="K217" s="163" t="str">
        <f>VLOOKUP(C217,花名册!A:B,2)</f>
        <v>JG002980</v>
      </c>
    </row>
    <row r="218" spans="1:11" s="1" customFormat="1" ht="30" customHeight="1" x14ac:dyDescent="0.25">
      <c r="A218" s="1">
        <v>217</v>
      </c>
      <c r="B218" s="163" t="s">
        <v>3418</v>
      </c>
      <c r="C218" s="28" t="s">
        <v>336</v>
      </c>
      <c r="D218" s="28" t="s">
        <v>15</v>
      </c>
      <c r="E218" s="21" t="s">
        <v>92</v>
      </c>
      <c r="F218" s="15"/>
      <c r="G218" s="15"/>
      <c r="H218" s="15"/>
      <c r="I218" s="26">
        <v>45968</v>
      </c>
      <c r="J218" s="17" t="s">
        <v>88</v>
      </c>
      <c r="K218" s="163" t="str">
        <f>VLOOKUP(C218,花名册!A:B,2)</f>
        <v>JG910016</v>
      </c>
    </row>
    <row r="219" spans="1:11" s="1" customFormat="1" ht="30" customHeight="1" x14ac:dyDescent="0.25">
      <c r="A219" s="1">
        <v>218</v>
      </c>
      <c r="B219" s="163" t="s">
        <v>3418</v>
      </c>
      <c r="C219" s="15" t="s">
        <v>337</v>
      </c>
      <c r="D219" s="19" t="s">
        <v>15</v>
      </c>
      <c r="E219" s="16" t="s">
        <v>92</v>
      </c>
      <c r="F219" s="15"/>
      <c r="G219" s="15"/>
      <c r="H219" s="15"/>
      <c r="I219" s="17">
        <v>44665</v>
      </c>
      <c r="J219" s="17" t="s">
        <v>88</v>
      </c>
      <c r="K219" s="163" t="str">
        <f>VLOOKUP(C219,花名册!A:B,2)</f>
        <v>JG910016</v>
      </c>
    </row>
    <row r="220" spans="1:11" s="1" customFormat="1" ht="30" customHeight="1" x14ac:dyDescent="0.25">
      <c r="A220" s="1">
        <v>219</v>
      </c>
      <c r="B220" s="163" t="e">
        <v>#N/A</v>
      </c>
      <c r="C220" s="15"/>
      <c r="D220" s="19"/>
      <c r="E220" s="16"/>
      <c r="F220" s="15"/>
      <c r="G220" s="15"/>
      <c r="H220" s="15"/>
      <c r="I220" s="17"/>
      <c r="J220" s="17" t="e">
        <v>#N/A</v>
      </c>
      <c r="K220" s="163" t="e">
        <f>VLOOKUP(C220,花名册!A:B,2)</f>
        <v>#N/A</v>
      </c>
    </row>
    <row r="221" spans="1:11" s="1" customFormat="1" ht="30" customHeight="1" x14ac:dyDescent="0.25">
      <c r="A221" s="1">
        <v>220</v>
      </c>
      <c r="B221" s="163" t="s">
        <v>2294</v>
      </c>
      <c r="C221" s="52" t="s">
        <v>339</v>
      </c>
      <c r="D221" s="52" t="s">
        <v>15</v>
      </c>
      <c r="E221" s="52" t="s">
        <v>16</v>
      </c>
      <c r="F221" s="52"/>
      <c r="G221" s="52"/>
      <c r="H221" s="52"/>
      <c r="I221" s="70">
        <v>46142</v>
      </c>
      <c r="J221" s="17" t="s">
        <v>338</v>
      </c>
      <c r="K221" s="163" t="str">
        <f>VLOOKUP(C221,花名册!A:B,2)</f>
        <v>JG003138</v>
      </c>
    </row>
    <row r="222" spans="1:11" s="1" customFormat="1" ht="30" customHeight="1" x14ac:dyDescent="0.25">
      <c r="A222" s="1">
        <v>221</v>
      </c>
      <c r="B222" s="163" t="s">
        <v>1774</v>
      </c>
      <c r="C222" s="52" t="s">
        <v>340</v>
      </c>
      <c r="D222" s="28" t="s">
        <v>15</v>
      </c>
      <c r="E222" s="21" t="s">
        <v>92</v>
      </c>
      <c r="F222" s="28" t="s">
        <v>102</v>
      </c>
      <c r="G222" s="138"/>
      <c r="H222" s="28"/>
      <c r="I222" s="70">
        <v>46144</v>
      </c>
      <c r="J222" s="17" t="s">
        <v>338</v>
      </c>
      <c r="K222" s="163" t="str">
        <f>VLOOKUP(C222,花名册!A:B,2)</f>
        <v>JG003195</v>
      </c>
    </row>
    <row r="223" spans="1:11" s="1" customFormat="1" ht="30" customHeight="1" x14ac:dyDescent="0.25">
      <c r="A223" s="1">
        <v>222</v>
      </c>
      <c r="B223" s="163" t="s">
        <v>3419</v>
      </c>
      <c r="C223" s="15" t="s">
        <v>342</v>
      </c>
      <c r="D223" s="15" t="s">
        <v>15</v>
      </c>
      <c r="E223" s="31" t="s">
        <v>64</v>
      </c>
      <c r="F223" s="15"/>
      <c r="G223" s="15"/>
      <c r="H223" s="15"/>
      <c r="I223" s="17">
        <v>45008</v>
      </c>
      <c r="J223" s="17" t="s">
        <v>426</v>
      </c>
      <c r="K223" s="163" t="str">
        <f>VLOOKUP(C223,花名册!A:B,2)</f>
        <v>JG910017</v>
      </c>
    </row>
    <row r="224" spans="1:11" s="1" customFormat="1" ht="30" customHeight="1" x14ac:dyDescent="0.25">
      <c r="A224" s="1">
        <v>223</v>
      </c>
      <c r="B224" s="163" t="s">
        <v>825</v>
      </c>
      <c r="C224" s="15" t="s">
        <v>343</v>
      </c>
      <c r="D224" s="15" t="s">
        <v>15</v>
      </c>
      <c r="E224" s="31" t="s">
        <v>92</v>
      </c>
      <c r="F224" s="15"/>
      <c r="G224" s="15"/>
      <c r="H224" s="15"/>
      <c r="I224" s="17">
        <v>45444</v>
      </c>
      <c r="J224" s="17" t="s">
        <v>341</v>
      </c>
      <c r="K224" s="163" t="str">
        <f>VLOOKUP(C224,花名册!A:B,2)</f>
        <v>JG000017</v>
      </c>
    </row>
    <row r="225" spans="1:11" s="1" customFormat="1" ht="30" customHeight="1" x14ac:dyDescent="0.25">
      <c r="A225" s="1">
        <v>224</v>
      </c>
      <c r="B225" s="163" t="s">
        <v>1536</v>
      </c>
      <c r="C225" s="15" t="s">
        <v>345</v>
      </c>
      <c r="D225" s="15" t="s">
        <v>15</v>
      </c>
      <c r="E225" s="31" t="s">
        <v>92</v>
      </c>
      <c r="F225" s="15"/>
      <c r="G225" s="15"/>
      <c r="H225" s="15"/>
      <c r="I225" s="66">
        <v>45112</v>
      </c>
      <c r="J225" s="17" t="s">
        <v>344</v>
      </c>
      <c r="K225" s="163" t="str">
        <f>VLOOKUP(C225,花名册!A:B,2)</f>
        <v>JG001853</v>
      </c>
    </row>
    <row r="226" spans="1:11" s="1" customFormat="1" ht="30" customHeight="1" x14ac:dyDescent="0.25">
      <c r="A226" s="1">
        <v>225</v>
      </c>
      <c r="B226" s="163" t="s">
        <v>3418</v>
      </c>
      <c r="C226" s="19" t="s">
        <v>346</v>
      </c>
      <c r="D226" s="15" t="s">
        <v>15</v>
      </c>
      <c r="E226" s="16" t="s">
        <v>16</v>
      </c>
      <c r="F226" s="15" t="s">
        <v>347</v>
      </c>
      <c r="G226" s="15"/>
      <c r="H226" s="15"/>
      <c r="I226" s="17">
        <v>45362</v>
      </c>
      <c r="J226" s="17" t="s">
        <v>88</v>
      </c>
      <c r="K226" s="163" t="str">
        <f>VLOOKUP(C226,花名册!A:B,2)</f>
        <v>JG910016</v>
      </c>
    </row>
    <row r="227" spans="1:11" s="1" customFormat="1" ht="30" customHeight="1" x14ac:dyDescent="0.25">
      <c r="A227" s="1">
        <v>226</v>
      </c>
      <c r="B227" s="163" t="s">
        <v>3419</v>
      </c>
      <c r="C227" s="81" t="s">
        <v>349</v>
      </c>
      <c r="D227" s="19" t="s">
        <v>15</v>
      </c>
      <c r="E227" s="16" t="s">
        <v>92</v>
      </c>
      <c r="F227" s="15"/>
      <c r="G227" s="15"/>
      <c r="H227" s="15"/>
      <c r="I227" s="17">
        <v>44480</v>
      </c>
      <c r="J227" s="17" t="s">
        <v>426</v>
      </c>
      <c r="K227" s="163" t="str">
        <f>VLOOKUP(C227,花名册!A:B,2)</f>
        <v>JG910017</v>
      </c>
    </row>
    <row r="228" spans="1:11" s="1" customFormat="1" ht="30" customHeight="1" x14ac:dyDescent="0.25">
      <c r="A228" s="1">
        <v>227</v>
      </c>
      <c r="B228" s="163" t="s">
        <v>3418</v>
      </c>
      <c r="C228" s="97" t="s">
        <v>350</v>
      </c>
      <c r="D228" s="19" t="s">
        <v>15</v>
      </c>
      <c r="E228" s="16" t="s">
        <v>92</v>
      </c>
      <c r="F228" s="19"/>
      <c r="G228" s="143"/>
      <c r="H228" s="19"/>
      <c r="I228" s="54"/>
      <c r="J228" s="17" t="s">
        <v>88</v>
      </c>
      <c r="K228" s="163" t="str">
        <f>VLOOKUP(C228,花名册!A:B,2)</f>
        <v>JG910016</v>
      </c>
    </row>
    <row r="229" spans="1:11" s="1" customFormat="1" ht="30" customHeight="1" x14ac:dyDescent="0.25">
      <c r="A229" s="1">
        <v>228</v>
      </c>
      <c r="B229" s="163" t="s">
        <v>2204</v>
      </c>
      <c r="C229" s="19" t="s">
        <v>352</v>
      </c>
      <c r="D229" s="81" t="s">
        <v>15</v>
      </c>
      <c r="E229" s="16" t="s">
        <v>92</v>
      </c>
      <c r="F229" s="15"/>
      <c r="G229" s="15"/>
      <c r="H229" s="15"/>
      <c r="I229" s="17">
        <v>44648</v>
      </c>
      <c r="J229" s="17" t="s">
        <v>351</v>
      </c>
      <c r="K229" s="163" t="str">
        <f>VLOOKUP(C229,花名册!A:B,2)</f>
        <v>JG000861</v>
      </c>
    </row>
    <row r="230" spans="1:11" s="1" customFormat="1" ht="30" customHeight="1" x14ac:dyDescent="0.25">
      <c r="A230" s="1">
        <v>229</v>
      </c>
      <c r="B230" s="163" t="s">
        <v>1281</v>
      </c>
      <c r="C230" s="19" t="s">
        <v>353</v>
      </c>
      <c r="D230" s="28" t="s">
        <v>15</v>
      </c>
      <c r="E230" s="21" t="s">
        <v>92</v>
      </c>
      <c r="F230" s="43"/>
      <c r="G230" s="43"/>
      <c r="H230" s="43"/>
      <c r="I230" s="46"/>
      <c r="J230" s="17" t="s">
        <v>351</v>
      </c>
      <c r="K230" s="163" t="str">
        <f>VLOOKUP(C230,花名册!A:B,2)</f>
        <v>JG002698</v>
      </c>
    </row>
    <row r="231" spans="1:11" s="1" customFormat="1" ht="30" customHeight="1" x14ac:dyDescent="0.25">
      <c r="A231" s="1">
        <v>230</v>
      </c>
      <c r="B231" s="163" t="s">
        <v>853</v>
      </c>
      <c r="C231" s="73" t="s">
        <v>356</v>
      </c>
      <c r="D231" s="69" t="s">
        <v>19</v>
      </c>
      <c r="E231" s="98" t="s">
        <v>85</v>
      </c>
      <c r="F231" s="69" t="s">
        <v>98</v>
      </c>
      <c r="G231" s="146"/>
      <c r="H231" s="69"/>
      <c r="I231" s="32">
        <v>45999</v>
      </c>
      <c r="J231" s="17" t="s">
        <v>265</v>
      </c>
      <c r="K231" s="163" t="str">
        <f>VLOOKUP(C231,花名册!A:B,2)</f>
        <v>JG002868</v>
      </c>
    </row>
    <row r="232" spans="1:11" s="1" customFormat="1" ht="30" customHeight="1" x14ac:dyDescent="0.25">
      <c r="A232" s="1">
        <v>231</v>
      </c>
      <c r="B232" s="163" t="s">
        <v>3420</v>
      </c>
      <c r="C232" s="16" t="s">
        <v>357</v>
      </c>
      <c r="D232" s="28" t="s">
        <v>15</v>
      </c>
      <c r="E232" s="21" t="s">
        <v>85</v>
      </c>
      <c r="F232" s="15"/>
      <c r="G232" s="15"/>
      <c r="H232" s="15"/>
      <c r="I232" s="26">
        <v>45961</v>
      </c>
      <c r="J232" s="17" t="s">
        <v>142</v>
      </c>
      <c r="K232" s="163" t="str">
        <f>VLOOKUP(C232,花名册!A:B,2)</f>
        <v>JG910018</v>
      </c>
    </row>
    <row r="233" spans="1:11" s="1" customFormat="1" ht="30" customHeight="1" x14ac:dyDescent="0.25">
      <c r="A233" s="1">
        <v>232</v>
      </c>
      <c r="B233" s="163" t="s">
        <v>1889</v>
      </c>
      <c r="C233" s="11" t="s">
        <v>360</v>
      </c>
      <c r="D233" s="11" t="s">
        <v>15</v>
      </c>
      <c r="E233" s="11" t="s">
        <v>16</v>
      </c>
      <c r="F233" s="11" t="s">
        <v>361</v>
      </c>
      <c r="G233" s="136" t="s">
        <v>361</v>
      </c>
      <c r="H233" s="11" t="s">
        <v>361</v>
      </c>
      <c r="I233" s="26">
        <v>45709</v>
      </c>
      <c r="J233" s="17" t="s">
        <v>359</v>
      </c>
      <c r="K233" s="163" t="str">
        <f>VLOOKUP(C233,花名册!A:B,2)</f>
        <v>JG002570</v>
      </c>
    </row>
    <row r="234" spans="1:11" s="1" customFormat="1" ht="30" customHeight="1" x14ac:dyDescent="0.25">
      <c r="A234" s="1">
        <v>233</v>
      </c>
      <c r="B234" s="163" t="e">
        <v>#N/A</v>
      </c>
      <c r="C234" s="19"/>
      <c r="D234" s="81"/>
      <c r="E234" s="20"/>
      <c r="F234" s="15"/>
      <c r="G234" s="15"/>
      <c r="H234" s="15"/>
      <c r="I234" s="66"/>
      <c r="J234" s="17" t="e">
        <v>#N/A</v>
      </c>
      <c r="K234" s="163" t="e">
        <f>VLOOKUP(C234,花名册!A:B,2)</f>
        <v>#N/A</v>
      </c>
    </row>
    <row r="235" spans="1:11" s="1" customFormat="1" ht="30" customHeight="1" x14ac:dyDescent="0.25">
      <c r="A235" s="1">
        <v>234</v>
      </c>
      <c r="B235" s="163" t="s">
        <v>3418</v>
      </c>
      <c r="C235" s="99" t="s">
        <v>363</v>
      </c>
      <c r="D235" s="37" t="s">
        <v>15</v>
      </c>
      <c r="E235" s="71" t="s">
        <v>114</v>
      </c>
      <c r="F235" s="37"/>
      <c r="G235" s="140"/>
      <c r="H235" s="37"/>
      <c r="I235" s="72">
        <v>45341</v>
      </c>
      <c r="J235" s="17" t="s">
        <v>88</v>
      </c>
      <c r="K235" s="163" t="str">
        <f>VLOOKUP(C235,花名册!A:B,2)</f>
        <v>JG910016</v>
      </c>
    </row>
    <row r="236" spans="1:11" s="1" customFormat="1" ht="30" customHeight="1" x14ac:dyDescent="0.25">
      <c r="A236" s="1">
        <v>235</v>
      </c>
      <c r="B236" s="163" t="s">
        <v>1393</v>
      </c>
      <c r="C236" s="55" t="s">
        <v>364</v>
      </c>
      <c r="D236" s="15" t="s">
        <v>15</v>
      </c>
      <c r="E236" s="31" t="s">
        <v>64</v>
      </c>
      <c r="F236" s="15"/>
      <c r="G236" s="15"/>
      <c r="H236" s="15"/>
      <c r="I236" s="66">
        <v>45341</v>
      </c>
      <c r="J236" s="17" t="s">
        <v>417</v>
      </c>
      <c r="K236" s="163" t="str">
        <f>VLOOKUP(C236,花名册!A:B,2)</f>
        <v>JG003054</v>
      </c>
    </row>
    <row r="237" spans="1:11" s="1" customFormat="1" ht="30" customHeight="1" x14ac:dyDescent="0.25">
      <c r="A237" s="1">
        <v>236</v>
      </c>
      <c r="B237" s="163" t="s">
        <v>1186</v>
      </c>
      <c r="C237" s="20" t="s">
        <v>366</v>
      </c>
      <c r="D237" s="20" t="s">
        <v>15</v>
      </c>
      <c r="E237" s="16" t="s">
        <v>16</v>
      </c>
      <c r="F237" s="15" t="s">
        <v>367</v>
      </c>
      <c r="G237" s="15" t="s">
        <v>596</v>
      </c>
      <c r="H237" s="15" t="s">
        <v>596</v>
      </c>
      <c r="I237" s="22">
        <v>45594</v>
      </c>
      <c r="J237" s="17" t="s">
        <v>365</v>
      </c>
      <c r="K237" s="163" t="str">
        <f>VLOOKUP(C237,花名册!A:B,2)</f>
        <v>JG002141</v>
      </c>
    </row>
    <row r="238" spans="1:11" s="1" customFormat="1" ht="30" customHeight="1" x14ac:dyDescent="0.25">
      <c r="A238" s="1">
        <v>237</v>
      </c>
      <c r="B238" s="163" t="s">
        <v>3418</v>
      </c>
      <c r="C238" s="20" t="s">
        <v>369</v>
      </c>
      <c r="D238" s="20" t="s">
        <v>15</v>
      </c>
      <c r="E238" s="16" t="s">
        <v>16</v>
      </c>
      <c r="F238" s="20" t="s">
        <v>367</v>
      </c>
      <c r="G238" s="145" t="s">
        <v>596</v>
      </c>
      <c r="H238" s="20" t="s">
        <v>596</v>
      </c>
      <c r="I238" s="22">
        <v>46148</v>
      </c>
      <c r="J238" s="17" t="s">
        <v>88</v>
      </c>
      <c r="K238" s="163" t="str">
        <f>VLOOKUP(C238,花名册!A:B,2)</f>
        <v>JG910016</v>
      </c>
    </row>
    <row r="239" spans="1:11" s="1" customFormat="1" ht="30" customHeight="1" x14ac:dyDescent="0.25">
      <c r="A239" s="1">
        <v>238</v>
      </c>
      <c r="B239" s="163" t="s">
        <v>3418</v>
      </c>
      <c r="C239" s="20" t="s">
        <v>370</v>
      </c>
      <c r="D239" s="20" t="s">
        <v>15</v>
      </c>
      <c r="E239" s="16" t="s">
        <v>16</v>
      </c>
      <c r="F239" s="15" t="s">
        <v>367</v>
      </c>
      <c r="G239" s="15" t="s">
        <v>596</v>
      </c>
      <c r="H239" s="15" t="s">
        <v>596</v>
      </c>
      <c r="I239" s="22">
        <v>45698</v>
      </c>
      <c r="J239" s="17" t="s">
        <v>88</v>
      </c>
      <c r="K239" s="163" t="str">
        <f>VLOOKUP(C239,花名册!A:B,2)</f>
        <v>JG910016</v>
      </c>
    </row>
    <row r="240" spans="1:11" s="1" customFormat="1" ht="30" customHeight="1" x14ac:dyDescent="0.25">
      <c r="A240" s="1">
        <v>239</v>
      </c>
      <c r="B240" s="163" t="s">
        <v>1312</v>
      </c>
      <c r="C240" s="20" t="s">
        <v>371</v>
      </c>
      <c r="D240" s="15" t="s">
        <v>15</v>
      </c>
      <c r="E240" s="31" t="s">
        <v>16</v>
      </c>
      <c r="F240" s="15" t="s">
        <v>367</v>
      </c>
      <c r="G240" s="15" t="s">
        <v>596</v>
      </c>
      <c r="H240" s="15" t="s">
        <v>596</v>
      </c>
      <c r="I240" s="22">
        <v>45699</v>
      </c>
      <c r="J240" s="17" t="s">
        <v>365</v>
      </c>
      <c r="K240" s="163" t="str">
        <f>VLOOKUP(C240,花名册!A:B,2)</f>
        <v>JG002300</v>
      </c>
    </row>
    <row r="241" spans="1:11" s="1" customFormat="1" ht="30" customHeight="1" x14ac:dyDescent="0.25">
      <c r="A241" s="1">
        <v>240</v>
      </c>
      <c r="B241" s="163" t="s">
        <v>2382</v>
      </c>
      <c r="C241" s="15" t="s">
        <v>373</v>
      </c>
      <c r="D241" s="19" t="s">
        <v>15</v>
      </c>
      <c r="E241" s="21" t="s">
        <v>16</v>
      </c>
      <c r="F241" s="19" t="s">
        <v>17</v>
      </c>
      <c r="G241" s="143" t="s">
        <v>587</v>
      </c>
      <c r="H241" s="19" t="s">
        <v>587</v>
      </c>
      <c r="I241" s="21" t="s">
        <v>374</v>
      </c>
      <c r="J241" s="17" t="s">
        <v>372</v>
      </c>
      <c r="K241" s="163" t="str">
        <f>VLOOKUP(C241,花名册!A:B,2)</f>
        <v>JG000065</v>
      </c>
    </row>
    <row r="242" spans="1:11" s="1" customFormat="1" ht="30" customHeight="1" x14ac:dyDescent="0.25">
      <c r="A242" s="1">
        <v>241</v>
      </c>
      <c r="B242" s="163" t="s">
        <v>808</v>
      </c>
      <c r="C242" s="15" t="s">
        <v>376</v>
      </c>
      <c r="D242" s="19" t="s">
        <v>15</v>
      </c>
      <c r="E242" s="21" t="s">
        <v>16</v>
      </c>
      <c r="F242" s="19" t="s">
        <v>17</v>
      </c>
      <c r="G242" s="143" t="s">
        <v>587</v>
      </c>
      <c r="H242" s="19" t="s">
        <v>587</v>
      </c>
      <c r="I242" s="21" t="s">
        <v>374</v>
      </c>
      <c r="J242" s="17" t="s">
        <v>133</v>
      </c>
      <c r="K242" s="163" t="str">
        <f>VLOOKUP(C242,花名册!A:B,2)</f>
        <v>JG002597</v>
      </c>
    </row>
    <row r="243" spans="1:11" s="1" customFormat="1" ht="30" customHeight="1" x14ac:dyDescent="0.25">
      <c r="A243" s="1">
        <v>242</v>
      </c>
      <c r="B243" s="163" t="e">
        <v>#N/A</v>
      </c>
      <c r="C243" s="11"/>
      <c r="D243" s="11"/>
      <c r="E243" s="16"/>
      <c r="F243" s="15"/>
      <c r="G243" s="15"/>
      <c r="H243" s="15"/>
      <c r="I243" s="26"/>
      <c r="J243" s="17" t="e">
        <v>#N/A</v>
      </c>
      <c r="K243" s="163" t="e">
        <f>VLOOKUP(C243,花名册!A:B,2)</f>
        <v>#N/A</v>
      </c>
    </row>
    <row r="244" spans="1:11" s="1" customFormat="1" ht="30" customHeight="1" x14ac:dyDescent="0.25">
      <c r="A244" s="1">
        <v>243</v>
      </c>
      <c r="B244" s="163" t="e">
        <v>#N/A</v>
      </c>
      <c r="C244" s="11"/>
      <c r="D244" s="11"/>
      <c r="E244" s="16"/>
      <c r="F244" s="15"/>
      <c r="G244" s="15"/>
      <c r="H244" s="15"/>
      <c r="I244" s="26"/>
      <c r="J244" s="17" t="e">
        <v>#N/A</v>
      </c>
      <c r="K244" s="163" t="e">
        <f>VLOOKUP(C244,花名册!A:B,2)</f>
        <v>#N/A</v>
      </c>
    </row>
    <row r="245" spans="1:11" s="1" customFormat="1" ht="30" customHeight="1" x14ac:dyDescent="0.25">
      <c r="A245" s="1">
        <v>244</v>
      </c>
      <c r="B245" s="163" t="s">
        <v>3420</v>
      </c>
      <c r="C245" s="15" t="s">
        <v>379</v>
      </c>
      <c r="D245" s="15" t="s">
        <v>15</v>
      </c>
      <c r="E245" s="31" t="s">
        <v>16</v>
      </c>
      <c r="F245" s="15" t="s">
        <v>367</v>
      </c>
      <c r="G245" s="15" t="s">
        <v>596</v>
      </c>
      <c r="H245" s="15" t="s">
        <v>596</v>
      </c>
      <c r="I245" s="66">
        <v>45463</v>
      </c>
      <c r="J245" s="17" t="s">
        <v>142</v>
      </c>
      <c r="K245" s="163" t="str">
        <f>VLOOKUP(C245,花名册!A:B,2)</f>
        <v>JG910018</v>
      </c>
    </row>
    <row r="246" spans="1:11" s="1" customFormat="1" ht="30" customHeight="1" x14ac:dyDescent="0.25">
      <c r="A246" s="1">
        <v>245</v>
      </c>
      <c r="B246" s="163" t="s">
        <v>875</v>
      </c>
      <c r="C246" s="19" t="s">
        <v>381</v>
      </c>
      <c r="D246" s="19" t="s">
        <v>15</v>
      </c>
      <c r="E246" s="16" t="s">
        <v>16</v>
      </c>
      <c r="F246" s="15" t="s">
        <v>22</v>
      </c>
      <c r="G246" s="15" t="s">
        <v>590</v>
      </c>
      <c r="H246" s="15" t="s">
        <v>590</v>
      </c>
      <c r="I246" s="39">
        <v>45474</v>
      </c>
      <c r="J246" s="17" t="s">
        <v>378</v>
      </c>
      <c r="K246" s="163" t="str">
        <f>VLOOKUP(C246,花名册!A:B,2)</f>
        <v>JG001846</v>
      </c>
    </row>
    <row r="247" spans="1:11" s="1" customFormat="1" ht="30" customHeight="1" x14ac:dyDescent="0.25">
      <c r="A247" s="1">
        <v>246</v>
      </c>
      <c r="B247" s="163" t="s">
        <v>3418</v>
      </c>
      <c r="C247" s="20" t="s">
        <v>382</v>
      </c>
      <c r="D247" s="19" t="s">
        <v>15</v>
      </c>
      <c r="E247" s="16" t="s">
        <v>16</v>
      </c>
      <c r="F247" s="15" t="s">
        <v>22</v>
      </c>
      <c r="G247" s="15" t="s">
        <v>590</v>
      </c>
      <c r="H247" s="15" t="s">
        <v>590</v>
      </c>
      <c r="I247" s="22">
        <v>46150</v>
      </c>
      <c r="J247" s="17" t="s">
        <v>88</v>
      </c>
      <c r="K247" s="163" t="str">
        <f>VLOOKUP(C247,花名册!A:B,2)</f>
        <v>JG910016</v>
      </c>
    </row>
    <row r="248" spans="1:11" s="1" customFormat="1" ht="30" customHeight="1" x14ac:dyDescent="0.25">
      <c r="A248" s="1">
        <v>247</v>
      </c>
      <c r="B248" s="163" t="s">
        <v>1606</v>
      </c>
      <c r="C248" s="20" t="s">
        <v>383</v>
      </c>
      <c r="D248" s="19" t="s">
        <v>15</v>
      </c>
      <c r="E248" s="16" t="s">
        <v>16</v>
      </c>
      <c r="F248" s="15" t="s">
        <v>22</v>
      </c>
      <c r="G248" s="15" t="s">
        <v>590</v>
      </c>
      <c r="H248" s="15" t="s">
        <v>590</v>
      </c>
      <c r="I248" s="22">
        <v>46153</v>
      </c>
      <c r="J248" s="17" t="s">
        <v>378</v>
      </c>
      <c r="K248" s="163" t="str">
        <f>VLOOKUP(C248,花名册!A:B,2)</f>
        <v>JG003168</v>
      </c>
    </row>
    <row r="249" spans="1:11" s="1" customFormat="1" ht="30" customHeight="1" x14ac:dyDescent="0.25">
      <c r="A249" s="1">
        <v>248</v>
      </c>
      <c r="B249" s="163" t="s">
        <v>3419</v>
      </c>
      <c r="C249" s="67" t="s">
        <v>385</v>
      </c>
      <c r="D249" s="68" t="s">
        <v>15</v>
      </c>
      <c r="E249" s="16" t="s">
        <v>16</v>
      </c>
      <c r="F249" s="67" t="s">
        <v>45</v>
      </c>
      <c r="G249" s="67" t="s">
        <v>595</v>
      </c>
      <c r="H249" s="67" t="s">
        <v>595</v>
      </c>
      <c r="I249" s="104">
        <v>45151</v>
      </c>
      <c r="J249" s="17" t="s">
        <v>426</v>
      </c>
      <c r="K249" s="163" t="str">
        <f>VLOOKUP(C249,花名册!A:B,2)</f>
        <v>JG910017</v>
      </c>
    </row>
    <row r="250" spans="1:11" s="1" customFormat="1" ht="30" customHeight="1" x14ac:dyDescent="0.25">
      <c r="A250" s="1">
        <v>249</v>
      </c>
      <c r="B250" s="163" t="s">
        <v>3420</v>
      </c>
      <c r="C250" s="29" t="s">
        <v>387</v>
      </c>
      <c r="D250" s="15" t="s">
        <v>15</v>
      </c>
      <c r="E250" s="16" t="s">
        <v>16</v>
      </c>
      <c r="F250" s="29" t="s">
        <v>129</v>
      </c>
      <c r="G250" s="29" t="s">
        <v>111</v>
      </c>
      <c r="H250" s="29" t="s">
        <v>111</v>
      </c>
      <c r="I250" s="104" t="s">
        <v>388</v>
      </c>
      <c r="J250" s="17" t="s">
        <v>142</v>
      </c>
      <c r="K250" s="163" t="str">
        <f>VLOOKUP(C250,花名册!A:B,2)</f>
        <v>JG910018</v>
      </c>
    </row>
    <row r="251" spans="1:11" s="1" customFormat="1" ht="30" customHeight="1" x14ac:dyDescent="0.25">
      <c r="A251" s="1">
        <v>250</v>
      </c>
      <c r="B251" s="163" t="s">
        <v>1234</v>
      </c>
      <c r="C251" s="105" t="s">
        <v>389</v>
      </c>
      <c r="D251" s="67" t="s">
        <v>15</v>
      </c>
      <c r="E251" s="31" t="s">
        <v>16</v>
      </c>
      <c r="F251" s="67" t="s">
        <v>129</v>
      </c>
      <c r="G251" s="67" t="s">
        <v>111</v>
      </c>
      <c r="H251" s="67" t="s">
        <v>111</v>
      </c>
      <c r="I251" s="66">
        <v>45530</v>
      </c>
      <c r="J251" s="17" t="s">
        <v>384</v>
      </c>
      <c r="K251" s="163" t="str">
        <f>VLOOKUP(C251,花名册!A:B,2)</f>
        <v>JG001929</v>
      </c>
    </row>
    <row r="252" spans="1:11" s="1" customFormat="1" ht="30" customHeight="1" x14ac:dyDescent="0.25">
      <c r="A252" s="1">
        <v>251</v>
      </c>
      <c r="B252" s="163" t="s">
        <v>3418</v>
      </c>
      <c r="C252" s="106" t="s">
        <v>391</v>
      </c>
      <c r="D252" s="67" t="s">
        <v>15</v>
      </c>
      <c r="E252" s="31" t="s">
        <v>16</v>
      </c>
      <c r="F252" s="67" t="s">
        <v>129</v>
      </c>
      <c r="G252" s="67" t="s">
        <v>111</v>
      </c>
      <c r="H252" s="67" t="s">
        <v>111</v>
      </c>
      <c r="I252" s="26">
        <v>45619</v>
      </c>
      <c r="J252" s="17" t="s">
        <v>88</v>
      </c>
      <c r="K252" s="163" t="str">
        <f>VLOOKUP(C252,花名册!A:B,2)</f>
        <v>JG910016</v>
      </c>
    </row>
    <row r="253" spans="1:11" s="1" customFormat="1" ht="30" customHeight="1" x14ac:dyDescent="0.25">
      <c r="A253" s="1">
        <v>252</v>
      </c>
      <c r="B253" s="163" t="s">
        <v>3420</v>
      </c>
      <c r="C253" s="42" t="s">
        <v>393</v>
      </c>
      <c r="D253" s="42" t="s">
        <v>15</v>
      </c>
      <c r="E253" s="41" t="s">
        <v>16</v>
      </c>
      <c r="F253" s="42" t="s">
        <v>45</v>
      </c>
      <c r="G253" s="141" t="s">
        <v>595</v>
      </c>
      <c r="H253" s="42" t="s">
        <v>595</v>
      </c>
      <c r="I253" s="79">
        <v>45151</v>
      </c>
      <c r="J253" s="17" t="s">
        <v>142</v>
      </c>
      <c r="K253" s="163" t="str">
        <f>VLOOKUP(C253,花名册!A:B,2)</f>
        <v>JG910018</v>
      </c>
    </row>
    <row r="254" spans="1:11" s="1" customFormat="1" ht="30" customHeight="1" x14ac:dyDescent="0.25">
      <c r="A254" s="1">
        <v>253</v>
      </c>
      <c r="B254" s="163" t="e">
        <v>#N/A</v>
      </c>
      <c r="C254" s="11"/>
      <c r="D254" s="15"/>
      <c r="E254" s="16"/>
      <c r="F254" s="15"/>
      <c r="G254" s="15"/>
      <c r="H254" s="15"/>
      <c r="I254" s="26"/>
      <c r="J254" s="17" t="e">
        <v>#N/A</v>
      </c>
      <c r="K254" s="163" t="e">
        <f>VLOOKUP(C254,花名册!A:B,2)</f>
        <v>#N/A</v>
      </c>
    </row>
    <row r="255" spans="1:11" s="1" customFormat="1" ht="30" customHeight="1" x14ac:dyDescent="0.25">
      <c r="A255" s="1">
        <v>254</v>
      </c>
      <c r="B255" s="163" t="s">
        <v>3418</v>
      </c>
      <c r="C255" s="24" t="s">
        <v>395</v>
      </c>
      <c r="D255" s="15" t="s">
        <v>15</v>
      </c>
      <c r="E255" s="16" t="s">
        <v>16</v>
      </c>
      <c r="F255" s="15" t="s">
        <v>129</v>
      </c>
      <c r="G255" s="15" t="s">
        <v>111</v>
      </c>
      <c r="H255" s="15" t="s">
        <v>111</v>
      </c>
      <c r="I255" s="22">
        <v>45908</v>
      </c>
      <c r="J255" s="17" t="s">
        <v>88</v>
      </c>
      <c r="K255" s="163" t="str">
        <f>VLOOKUP(C255,花名册!A:B,2)</f>
        <v>JG910016</v>
      </c>
    </row>
    <row r="256" spans="1:11" s="1" customFormat="1" ht="30" customHeight="1" x14ac:dyDescent="0.25">
      <c r="A256" s="1">
        <v>255</v>
      </c>
      <c r="B256" s="163" t="s">
        <v>3418</v>
      </c>
      <c r="C256" s="20" t="s">
        <v>397</v>
      </c>
      <c r="D256" s="36" t="s">
        <v>15</v>
      </c>
      <c r="E256" s="41" t="s">
        <v>16</v>
      </c>
      <c r="F256" s="36" t="s">
        <v>129</v>
      </c>
      <c r="G256" s="139" t="s">
        <v>111</v>
      </c>
      <c r="H256" s="36" t="s">
        <v>111</v>
      </c>
      <c r="I256" s="22">
        <v>46083</v>
      </c>
      <c r="J256" s="17" t="s">
        <v>88</v>
      </c>
      <c r="K256" s="163" t="str">
        <f>VLOOKUP(C256,花名册!A:B,2)</f>
        <v>JG910016</v>
      </c>
    </row>
    <row r="257" spans="1:11" s="1" customFormat="1" ht="30" customHeight="1" x14ac:dyDescent="0.25">
      <c r="A257" s="1">
        <v>256</v>
      </c>
      <c r="B257" s="163" t="s">
        <v>1735</v>
      </c>
      <c r="C257" s="110" t="s">
        <v>399</v>
      </c>
      <c r="D257" s="19" t="s">
        <v>15</v>
      </c>
      <c r="E257" s="16" t="s">
        <v>16</v>
      </c>
      <c r="F257" s="19" t="s">
        <v>400</v>
      </c>
      <c r="G257" s="143"/>
      <c r="H257" s="19"/>
      <c r="I257" s="26">
        <v>45411</v>
      </c>
      <c r="J257" s="17" t="s">
        <v>398</v>
      </c>
      <c r="K257" s="163" t="str">
        <f>VLOOKUP(C257,花名册!A:B,2)</f>
        <v>JG001740</v>
      </c>
    </row>
    <row r="258" spans="1:11" s="1" customFormat="1" ht="30" customHeight="1" x14ac:dyDescent="0.25">
      <c r="A258" s="1">
        <v>257</v>
      </c>
      <c r="B258" s="163" t="s">
        <v>1730</v>
      </c>
      <c r="C258" s="111" t="s">
        <v>402</v>
      </c>
      <c r="D258" s="19" t="s">
        <v>15</v>
      </c>
      <c r="E258" s="16" t="s">
        <v>16</v>
      </c>
      <c r="F258" s="19" t="s">
        <v>400</v>
      </c>
      <c r="G258" s="143"/>
      <c r="H258" s="19"/>
      <c r="I258" s="39">
        <v>45411</v>
      </c>
      <c r="J258" s="17" t="s">
        <v>398</v>
      </c>
      <c r="K258" s="163" t="str">
        <f>VLOOKUP(C258,花名册!A:B,2)</f>
        <v>JG001741</v>
      </c>
    </row>
    <row r="259" spans="1:11" s="1" customFormat="1" ht="30" customHeight="1" x14ac:dyDescent="0.25">
      <c r="A259" s="1">
        <v>258</v>
      </c>
      <c r="B259" s="163" t="s">
        <v>1732</v>
      </c>
      <c r="C259" s="20" t="s">
        <v>403</v>
      </c>
      <c r="D259" s="19" t="s">
        <v>15</v>
      </c>
      <c r="E259" s="16" t="s">
        <v>16</v>
      </c>
      <c r="F259" s="19" t="s">
        <v>400</v>
      </c>
      <c r="G259" s="143"/>
      <c r="H259" s="19"/>
      <c r="I259" s="22">
        <v>45794</v>
      </c>
      <c r="J259" s="17" t="s">
        <v>398</v>
      </c>
      <c r="K259" s="163" t="str">
        <f>VLOOKUP(C259,花名册!A:B,2)</f>
        <v>JG002658</v>
      </c>
    </row>
    <row r="260" spans="1:11" s="1" customFormat="1" ht="30" customHeight="1" x14ac:dyDescent="0.25">
      <c r="A260" s="1">
        <v>259</v>
      </c>
      <c r="B260" s="163" t="s">
        <v>1732</v>
      </c>
      <c r="C260" s="28" t="s">
        <v>404</v>
      </c>
      <c r="D260" s="19" t="s">
        <v>15</v>
      </c>
      <c r="E260" s="21" t="s">
        <v>85</v>
      </c>
      <c r="F260" s="21" t="s">
        <v>211</v>
      </c>
      <c r="G260" s="21"/>
      <c r="H260" s="21"/>
      <c r="I260" s="26">
        <v>46087</v>
      </c>
      <c r="J260" s="17" t="s">
        <v>398</v>
      </c>
      <c r="K260" s="163" t="str">
        <f>VLOOKUP(C260,花名册!A:B,2)</f>
        <v>JG002658</v>
      </c>
    </row>
    <row r="261" spans="1:11" s="1" customFormat="1" ht="30" customHeight="1" x14ac:dyDescent="0.25">
      <c r="A261" s="1">
        <v>260</v>
      </c>
      <c r="B261" s="163" t="s">
        <v>3418</v>
      </c>
      <c r="C261" s="20" t="s">
        <v>406</v>
      </c>
      <c r="D261" s="15" t="s">
        <v>15</v>
      </c>
      <c r="E261" s="31" t="s">
        <v>16</v>
      </c>
      <c r="F261" s="15" t="s">
        <v>367</v>
      </c>
      <c r="G261" s="15" t="s">
        <v>596</v>
      </c>
      <c r="H261" s="15" t="s">
        <v>596</v>
      </c>
      <c r="I261" s="22">
        <v>46137</v>
      </c>
      <c r="J261" s="17" t="s">
        <v>88</v>
      </c>
      <c r="K261" s="163" t="str">
        <f>VLOOKUP(C261,花名册!A:B,2)</f>
        <v>JG910016</v>
      </c>
    </row>
    <row r="262" spans="1:11" s="1" customFormat="1" ht="30" customHeight="1" x14ac:dyDescent="0.25">
      <c r="A262" s="1">
        <v>261</v>
      </c>
      <c r="B262" s="163" t="s">
        <v>3419</v>
      </c>
      <c r="C262" s="15" t="s">
        <v>407</v>
      </c>
      <c r="D262" s="15" t="s">
        <v>15</v>
      </c>
      <c r="E262" s="31" t="s">
        <v>16</v>
      </c>
      <c r="F262" s="15" t="s">
        <v>367</v>
      </c>
      <c r="G262" s="15" t="s">
        <v>596</v>
      </c>
      <c r="H262" s="15" t="s">
        <v>596</v>
      </c>
      <c r="I262" s="66"/>
      <c r="J262" s="17" t="s">
        <v>426</v>
      </c>
      <c r="K262" s="163" t="str">
        <f>VLOOKUP(C262,花名册!A:B,2)</f>
        <v>JG910017</v>
      </c>
    </row>
    <row r="263" spans="1:11" s="1" customFormat="1" ht="30" customHeight="1" x14ac:dyDescent="0.25">
      <c r="A263" s="1">
        <v>262</v>
      </c>
      <c r="B263" s="163" t="s">
        <v>3418</v>
      </c>
      <c r="C263" s="20" t="s">
        <v>408</v>
      </c>
      <c r="D263" s="15" t="s">
        <v>15</v>
      </c>
      <c r="E263" s="31" t="s">
        <v>16</v>
      </c>
      <c r="F263" s="15" t="s">
        <v>22</v>
      </c>
      <c r="G263" s="15" t="s">
        <v>590</v>
      </c>
      <c r="H263" s="15" t="s">
        <v>590</v>
      </c>
      <c r="I263" s="25">
        <v>46128</v>
      </c>
      <c r="J263" s="17" t="s">
        <v>88</v>
      </c>
      <c r="K263" s="163" t="str">
        <f>VLOOKUP(C263,花名册!A:B,2)</f>
        <v>JG910016</v>
      </c>
    </row>
    <row r="264" spans="1:11" s="1" customFormat="1" ht="30" customHeight="1" x14ac:dyDescent="0.25">
      <c r="A264" s="1">
        <v>263</v>
      </c>
      <c r="B264" s="163" t="s">
        <v>1859</v>
      </c>
      <c r="C264" s="113" t="s">
        <v>410</v>
      </c>
      <c r="D264" s="15" t="s">
        <v>15</v>
      </c>
      <c r="E264" s="31" t="s">
        <v>16</v>
      </c>
      <c r="F264" s="15" t="s">
        <v>367</v>
      </c>
      <c r="G264" s="15" t="s">
        <v>596</v>
      </c>
      <c r="H264" s="15" t="s">
        <v>596</v>
      </c>
      <c r="I264" s="26">
        <v>46185</v>
      </c>
      <c r="J264" s="17" t="s">
        <v>79</v>
      </c>
      <c r="K264" s="163" t="str">
        <f>VLOOKUP(C264,花名册!A:B,2)</f>
        <v>JG002061</v>
      </c>
    </row>
    <row r="265" spans="1:11" s="1" customFormat="1" ht="30" customHeight="1" x14ac:dyDescent="0.25">
      <c r="A265" s="1">
        <v>264</v>
      </c>
      <c r="B265" s="163" t="e">
        <v>#N/A</v>
      </c>
      <c r="C265" s="19" t="s">
        <v>413</v>
      </c>
      <c r="D265" s="19" t="s">
        <v>19</v>
      </c>
      <c r="E265" s="16" t="s">
        <v>16</v>
      </c>
      <c r="F265" s="15" t="s">
        <v>34</v>
      </c>
      <c r="G265" s="15" t="s">
        <v>593</v>
      </c>
      <c r="H265" s="15" t="s">
        <v>593</v>
      </c>
      <c r="I265" s="39">
        <v>45151</v>
      </c>
      <c r="J265" s="17" t="e">
        <v>#N/A</v>
      </c>
      <c r="K265" s="163" t="e">
        <f>VLOOKUP(C265,花名册!A:B,2)</f>
        <v>#N/A</v>
      </c>
    </row>
    <row r="266" spans="1:11" s="1" customFormat="1" ht="30" customHeight="1" x14ac:dyDescent="0.25">
      <c r="A266" s="1">
        <v>265</v>
      </c>
      <c r="B266" s="163" t="s">
        <v>3420</v>
      </c>
      <c r="C266" s="20" t="s">
        <v>414</v>
      </c>
      <c r="D266" s="19" t="s">
        <v>19</v>
      </c>
      <c r="E266" s="21" t="s">
        <v>16</v>
      </c>
      <c r="F266" s="15" t="s">
        <v>367</v>
      </c>
      <c r="G266" s="15" t="s">
        <v>596</v>
      </c>
      <c r="H266" s="15" t="s">
        <v>596</v>
      </c>
      <c r="I266" s="22">
        <v>45705</v>
      </c>
      <c r="J266" s="17" t="s">
        <v>142</v>
      </c>
      <c r="K266" s="163" t="str">
        <f>VLOOKUP(C266,花名册!A:B,2)</f>
        <v>JG910018</v>
      </c>
    </row>
    <row r="267" spans="1:11" s="1" customFormat="1" ht="30" customHeight="1" x14ac:dyDescent="0.25">
      <c r="A267" s="1">
        <v>266</v>
      </c>
      <c r="B267" s="163" t="s">
        <v>1405</v>
      </c>
      <c r="C267" s="64" t="s">
        <v>416</v>
      </c>
      <c r="D267" s="15" t="s">
        <v>19</v>
      </c>
      <c r="E267" s="31" t="s">
        <v>16</v>
      </c>
      <c r="F267" s="15" t="s">
        <v>34</v>
      </c>
      <c r="G267" s="15" t="s">
        <v>593</v>
      </c>
      <c r="H267" s="15" t="s">
        <v>593</v>
      </c>
      <c r="I267" s="66">
        <v>46084</v>
      </c>
      <c r="J267" s="17" t="s">
        <v>384</v>
      </c>
      <c r="K267" s="163" t="str">
        <f>VLOOKUP(C267,花名册!A:B,2)</f>
        <v>JG002163</v>
      </c>
    </row>
    <row r="268" spans="1:11" s="1" customFormat="1" ht="30" customHeight="1" x14ac:dyDescent="0.25">
      <c r="A268" s="1">
        <v>267</v>
      </c>
      <c r="B268" s="163" t="e">
        <v>#N/A</v>
      </c>
      <c r="C268" s="20"/>
      <c r="D268" s="15"/>
      <c r="E268" s="31"/>
      <c r="F268" s="15"/>
      <c r="G268" s="15"/>
      <c r="H268" s="15"/>
      <c r="I268" s="22"/>
      <c r="J268" s="17" t="e">
        <v>#N/A</v>
      </c>
      <c r="K268" s="163" t="e">
        <f>VLOOKUP(C268,花名册!A:B,2)</f>
        <v>#N/A</v>
      </c>
    </row>
    <row r="269" spans="1:11" s="1" customFormat="1" ht="30" customHeight="1" x14ac:dyDescent="0.25">
      <c r="A269" s="1">
        <v>268</v>
      </c>
      <c r="B269" s="163" t="s">
        <v>2423</v>
      </c>
      <c r="C269" s="61" t="s">
        <v>418</v>
      </c>
      <c r="D269" s="61" t="s">
        <v>19</v>
      </c>
      <c r="E269" s="16" t="s">
        <v>16</v>
      </c>
      <c r="F269" s="15"/>
      <c r="G269" s="15"/>
      <c r="H269" s="15"/>
      <c r="I269" s="114">
        <v>45151</v>
      </c>
      <c r="J269" s="17" t="s">
        <v>417</v>
      </c>
      <c r="K269" s="163" t="str">
        <f>VLOOKUP(C269,花名册!A:B,2)</f>
        <v>JG000034</v>
      </c>
    </row>
    <row r="270" spans="1:11" s="1" customFormat="1" ht="30" customHeight="1" x14ac:dyDescent="0.25">
      <c r="A270" s="1">
        <v>269</v>
      </c>
      <c r="B270" s="163" t="s">
        <v>3418</v>
      </c>
      <c r="C270" s="15" t="s">
        <v>419</v>
      </c>
      <c r="D270" s="15" t="s">
        <v>19</v>
      </c>
      <c r="E270" s="31" t="s">
        <v>16</v>
      </c>
      <c r="F270" s="15" t="s">
        <v>34</v>
      </c>
      <c r="G270" s="15" t="s">
        <v>593</v>
      </c>
      <c r="H270" s="15" t="s">
        <v>593</v>
      </c>
      <c r="I270" s="114">
        <v>45151</v>
      </c>
      <c r="J270" s="17" t="s">
        <v>88</v>
      </c>
      <c r="K270" s="163" t="str">
        <f>VLOOKUP(C270,花名册!A:B,2)</f>
        <v>JG910016</v>
      </c>
    </row>
    <row r="271" spans="1:11" s="1" customFormat="1" ht="30" customHeight="1" x14ac:dyDescent="0.25">
      <c r="A271" s="1">
        <v>270</v>
      </c>
      <c r="B271" s="163" t="e">
        <v>#N/A</v>
      </c>
      <c r="C271" s="20" t="s">
        <v>420</v>
      </c>
      <c r="D271" s="15" t="s">
        <v>19</v>
      </c>
      <c r="E271" s="31" t="s">
        <v>16</v>
      </c>
      <c r="F271" s="15" t="s">
        <v>34</v>
      </c>
      <c r="G271" s="15" t="s">
        <v>593</v>
      </c>
      <c r="H271" s="15" t="s">
        <v>593</v>
      </c>
      <c r="I271" s="94">
        <v>46083</v>
      </c>
      <c r="J271" s="17" t="e">
        <v>#N/A</v>
      </c>
      <c r="K271" s="163" t="e">
        <f>VLOOKUP(C271,花名册!A:B,2)</f>
        <v>#N/A</v>
      </c>
    </row>
    <row r="272" spans="1:11" s="1" customFormat="1" ht="30" customHeight="1" x14ac:dyDescent="0.25">
      <c r="A272" s="1">
        <v>271</v>
      </c>
      <c r="B272" s="163" t="e">
        <v>#N/A</v>
      </c>
      <c r="C272" s="20"/>
      <c r="D272" s="15"/>
      <c r="E272" s="31"/>
      <c r="F272" s="15"/>
      <c r="G272" s="15"/>
      <c r="H272" s="15"/>
      <c r="I272" s="22"/>
      <c r="J272" s="17" t="e">
        <v>#N/A</v>
      </c>
      <c r="K272" s="163" t="e">
        <f>VLOOKUP(C272,花名册!A:B,2)</f>
        <v>#N/A</v>
      </c>
    </row>
    <row r="273" spans="1:11" s="1" customFormat="1" ht="30" customHeight="1" x14ac:dyDescent="0.25">
      <c r="A273" s="1">
        <v>272</v>
      </c>
      <c r="B273" s="163" t="s">
        <v>884</v>
      </c>
      <c r="C273" s="15" t="s">
        <v>422</v>
      </c>
      <c r="D273" s="15" t="s">
        <v>19</v>
      </c>
      <c r="E273" s="16" t="s">
        <v>16</v>
      </c>
      <c r="F273" s="15" t="s">
        <v>34</v>
      </c>
      <c r="G273" s="15" t="s">
        <v>593</v>
      </c>
      <c r="H273" s="15" t="s">
        <v>593</v>
      </c>
      <c r="I273" s="39">
        <v>45151</v>
      </c>
      <c r="J273" s="17" t="s">
        <v>421</v>
      </c>
      <c r="K273" s="163" t="str">
        <f>VLOOKUP(C273,花名册!A:B,2)</f>
        <v>JG001384</v>
      </c>
    </row>
    <row r="274" spans="1:11" s="1" customFormat="1" ht="30" customHeight="1" x14ac:dyDescent="0.25">
      <c r="A274" s="1">
        <v>273</v>
      </c>
      <c r="B274" s="163" t="s">
        <v>3420</v>
      </c>
      <c r="C274" s="15" t="s">
        <v>423</v>
      </c>
      <c r="D274" s="15" t="s">
        <v>19</v>
      </c>
      <c r="E274" s="16" t="s">
        <v>16</v>
      </c>
      <c r="F274" s="15" t="s">
        <v>34</v>
      </c>
      <c r="G274" s="15" t="s">
        <v>593</v>
      </c>
      <c r="H274" s="15" t="s">
        <v>593</v>
      </c>
      <c r="I274" s="39">
        <v>45151</v>
      </c>
      <c r="J274" s="17" t="s">
        <v>142</v>
      </c>
      <c r="K274" s="163" t="str">
        <f>VLOOKUP(C274,花名册!A:B,2)</f>
        <v>JG910018</v>
      </c>
    </row>
    <row r="275" spans="1:11" s="1" customFormat="1" ht="30" customHeight="1" x14ac:dyDescent="0.25">
      <c r="A275" s="1">
        <v>274</v>
      </c>
      <c r="B275" s="163" t="s">
        <v>1815</v>
      </c>
      <c r="C275" s="15" t="s">
        <v>424</v>
      </c>
      <c r="D275" s="19" t="s">
        <v>19</v>
      </c>
      <c r="E275" s="21" t="s">
        <v>16</v>
      </c>
      <c r="F275" s="15" t="s">
        <v>38</v>
      </c>
      <c r="G275" s="15" t="s">
        <v>594</v>
      </c>
      <c r="H275" s="15" t="s">
        <v>594</v>
      </c>
      <c r="I275" s="26">
        <v>45212</v>
      </c>
      <c r="J275" s="17" t="s">
        <v>421</v>
      </c>
      <c r="K275" s="163" t="str">
        <f>VLOOKUP(C275,花名册!A:B,2)</f>
        <v>JG001615</v>
      </c>
    </row>
    <row r="276" spans="1:11" s="1" customFormat="1" ht="30" customHeight="1" x14ac:dyDescent="0.25">
      <c r="A276" s="1">
        <v>275</v>
      </c>
      <c r="B276" s="163" t="e">
        <v>#N/A</v>
      </c>
      <c r="C276" s="23"/>
      <c r="D276" s="43"/>
      <c r="E276" s="27"/>
      <c r="F276" s="43"/>
      <c r="G276" s="43"/>
      <c r="H276" s="43"/>
      <c r="I276" s="45"/>
      <c r="J276" s="17" t="e">
        <v>#N/A</v>
      </c>
      <c r="K276" s="163" t="e">
        <f>VLOOKUP(C276,花名册!A:B,2)</f>
        <v>#N/A</v>
      </c>
    </row>
    <row r="277" spans="1:11" s="1" customFormat="1" ht="30" customHeight="1" x14ac:dyDescent="0.25">
      <c r="A277" s="1">
        <v>276</v>
      </c>
      <c r="B277" s="163" t="s">
        <v>3419</v>
      </c>
      <c r="C277" s="24" t="s">
        <v>427</v>
      </c>
      <c r="D277" s="15" t="s">
        <v>19</v>
      </c>
      <c r="E277" s="31" t="s">
        <v>16</v>
      </c>
      <c r="F277" s="15" t="s">
        <v>34</v>
      </c>
      <c r="G277" s="15" t="s">
        <v>593</v>
      </c>
      <c r="H277" s="15" t="s">
        <v>593</v>
      </c>
      <c r="I277" s="25">
        <v>46088</v>
      </c>
      <c r="J277" s="17" t="s">
        <v>426</v>
      </c>
      <c r="K277" s="163" t="str">
        <f>VLOOKUP(C277,花名册!A:B,2)</f>
        <v>JG910017</v>
      </c>
    </row>
    <row r="278" spans="1:11" s="1" customFormat="1" ht="30" customHeight="1" x14ac:dyDescent="0.25">
      <c r="A278" s="1">
        <v>277</v>
      </c>
      <c r="B278" s="163" t="e">
        <v>#N/A</v>
      </c>
      <c r="C278" s="15"/>
      <c r="D278" s="15"/>
      <c r="E278" s="31"/>
      <c r="F278" s="15"/>
      <c r="G278" s="15"/>
      <c r="H278" s="15"/>
      <c r="I278" s="114"/>
      <c r="J278" s="17" t="e">
        <v>#N/A</v>
      </c>
      <c r="K278" s="163" t="e">
        <f>VLOOKUP(C278,花名册!A:B,2)</f>
        <v>#N/A</v>
      </c>
    </row>
    <row r="279" spans="1:11" s="1" customFormat="1" ht="30" customHeight="1" x14ac:dyDescent="0.25">
      <c r="A279" s="1">
        <v>278</v>
      </c>
      <c r="B279" s="163" t="s">
        <v>2031</v>
      </c>
      <c r="C279" s="15" t="s">
        <v>428</v>
      </c>
      <c r="D279" s="15" t="s">
        <v>19</v>
      </c>
      <c r="E279" s="16" t="s">
        <v>16</v>
      </c>
      <c r="F279" s="15" t="s">
        <v>17</v>
      </c>
      <c r="G279" s="15" t="s">
        <v>587</v>
      </c>
      <c r="H279" s="15" t="s">
        <v>587</v>
      </c>
      <c r="I279" s="114">
        <v>45151</v>
      </c>
      <c r="J279" s="17" t="s">
        <v>426</v>
      </c>
      <c r="K279" s="163" t="str">
        <f>VLOOKUP(C279,花名册!A:B,2)</f>
        <v>JG000250</v>
      </c>
    </row>
    <row r="280" spans="1:11" s="1" customFormat="1" ht="30" customHeight="1" x14ac:dyDescent="0.25">
      <c r="A280" s="1">
        <v>279</v>
      </c>
      <c r="B280" s="163" t="s">
        <v>1247</v>
      </c>
      <c r="C280" s="20" t="s">
        <v>429</v>
      </c>
      <c r="D280" s="15" t="s">
        <v>19</v>
      </c>
      <c r="E280" s="16" t="s">
        <v>16</v>
      </c>
      <c r="F280" s="15" t="s">
        <v>17</v>
      </c>
      <c r="G280" s="15" t="s">
        <v>587</v>
      </c>
      <c r="H280" s="15" t="s">
        <v>587</v>
      </c>
      <c r="I280" s="20" t="s">
        <v>148</v>
      </c>
      <c r="J280" s="17" t="s">
        <v>426</v>
      </c>
      <c r="K280" s="163" t="str">
        <f>VLOOKUP(C280,花名册!A:B,2)</f>
        <v>JG003004</v>
      </c>
    </row>
    <row r="281" spans="1:11" s="1" customFormat="1" ht="30" customHeight="1" x14ac:dyDescent="0.25">
      <c r="A281" s="1">
        <v>280</v>
      </c>
      <c r="B281" s="163" t="e">
        <v>#N/A</v>
      </c>
      <c r="C281" s="23"/>
      <c r="D281" s="43"/>
      <c r="E281" s="44"/>
      <c r="F281" s="43"/>
      <c r="G281" s="43"/>
      <c r="H281" s="43"/>
      <c r="I281" s="45"/>
      <c r="J281" s="17" t="e">
        <v>#N/A</v>
      </c>
      <c r="K281" s="163" t="e">
        <f>VLOOKUP(C281,花名册!A:B,2)</f>
        <v>#N/A</v>
      </c>
    </row>
    <row r="282" spans="1:11" s="1" customFormat="1" ht="30" customHeight="1" x14ac:dyDescent="0.25">
      <c r="A282" s="1">
        <v>281</v>
      </c>
      <c r="B282" s="163" t="s">
        <v>1091</v>
      </c>
      <c r="C282" s="15" t="s">
        <v>431</v>
      </c>
      <c r="D282" s="15" t="s">
        <v>19</v>
      </c>
      <c r="E282" s="16" t="s">
        <v>16</v>
      </c>
      <c r="F282" s="15" t="s">
        <v>22</v>
      </c>
      <c r="G282" s="15" t="s">
        <v>590</v>
      </c>
      <c r="H282" s="15" t="s">
        <v>590</v>
      </c>
      <c r="I282" s="39">
        <v>45447</v>
      </c>
      <c r="J282" s="17" t="s">
        <v>430</v>
      </c>
      <c r="K282" s="163" t="str">
        <f>VLOOKUP(C282,花名册!A:B,2)</f>
        <v>JG001448</v>
      </c>
    </row>
    <row r="283" spans="1:11" s="1" customFormat="1" ht="30" customHeight="1" x14ac:dyDescent="0.25">
      <c r="A283" s="1">
        <v>282</v>
      </c>
      <c r="B283" s="163" t="s">
        <v>3419</v>
      </c>
      <c r="C283" s="19" t="s">
        <v>433</v>
      </c>
      <c r="D283" s="19" t="s">
        <v>19</v>
      </c>
      <c r="E283" s="16" t="s">
        <v>16</v>
      </c>
      <c r="F283" s="19" t="s">
        <v>17</v>
      </c>
      <c r="G283" s="143" t="s">
        <v>587</v>
      </c>
      <c r="H283" s="19" t="s">
        <v>587</v>
      </c>
      <c r="I283" s="114">
        <v>45151</v>
      </c>
      <c r="J283" s="17" t="s">
        <v>426</v>
      </c>
      <c r="K283" s="163" t="str">
        <f>VLOOKUP(C283,花名册!A:B,2)</f>
        <v>JG910017</v>
      </c>
    </row>
    <row r="284" spans="1:11" s="1" customFormat="1" ht="30" customHeight="1" x14ac:dyDescent="0.25">
      <c r="A284" s="1">
        <v>283</v>
      </c>
      <c r="B284" s="163" t="s">
        <v>3420</v>
      </c>
      <c r="C284" s="110" t="s">
        <v>434</v>
      </c>
      <c r="D284" s="19" t="s">
        <v>19</v>
      </c>
      <c r="E284" s="16" t="s">
        <v>16</v>
      </c>
      <c r="F284" s="19" t="s">
        <v>17</v>
      </c>
      <c r="G284" s="143" t="s">
        <v>587</v>
      </c>
      <c r="H284" s="19" t="s">
        <v>587</v>
      </c>
      <c r="I284" s="39">
        <v>45536</v>
      </c>
      <c r="J284" s="17" t="s">
        <v>142</v>
      </c>
      <c r="K284" s="163" t="str">
        <f>VLOOKUP(C284,花名册!A:B,2)</f>
        <v>JG910018</v>
      </c>
    </row>
    <row r="285" spans="1:11" s="1" customFormat="1" ht="30" customHeight="1" x14ac:dyDescent="0.25">
      <c r="A285" s="1">
        <v>284</v>
      </c>
      <c r="B285" s="115">
        <v>46188</v>
      </c>
      <c r="C285" s="43" t="s">
        <v>436</v>
      </c>
      <c r="D285" s="15" t="s">
        <v>19</v>
      </c>
      <c r="E285" s="16" t="s">
        <v>16</v>
      </c>
      <c r="F285" s="15" t="s">
        <v>129</v>
      </c>
      <c r="G285" s="15" t="s">
        <v>111</v>
      </c>
      <c r="H285" s="15" t="s">
        <v>111</v>
      </c>
      <c r="I285" s="114">
        <v>45151</v>
      </c>
      <c r="J285" s="17" t="e">
        <v>#N/A</v>
      </c>
      <c r="K285" s="115">
        <v>46188</v>
      </c>
    </row>
    <row r="286" spans="1:11" s="1" customFormat="1" ht="30" customHeight="1" x14ac:dyDescent="0.25">
      <c r="A286" s="1">
        <v>285</v>
      </c>
      <c r="B286" s="163"/>
      <c r="C286" s="110" t="s">
        <v>438</v>
      </c>
      <c r="D286" s="15" t="s">
        <v>19</v>
      </c>
      <c r="E286" s="16" t="s">
        <v>16</v>
      </c>
      <c r="F286" s="29" t="s">
        <v>22</v>
      </c>
      <c r="G286" s="29" t="s">
        <v>590</v>
      </c>
      <c r="H286" s="29" t="s">
        <v>590</v>
      </c>
      <c r="I286" s="114">
        <v>45151</v>
      </c>
      <c r="J286" s="17" t="e">
        <v>#N/A</v>
      </c>
      <c r="K286" s="11"/>
    </row>
    <row r="287" spans="1:11" s="1" customFormat="1" ht="30" customHeight="1" x14ac:dyDescent="0.25">
      <c r="A287" s="1">
        <v>286</v>
      </c>
      <c r="B287" s="163"/>
      <c r="C287" s="110" t="s">
        <v>439</v>
      </c>
      <c r="D287" s="19" t="s">
        <v>19</v>
      </c>
      <c r="E287" s="16" t="s">
        <v>16</v>
      </c>
      <c r="F287" s="19" t="s">
        <v>129</v>
      </c>
      <c r="G287" s="143" t="s">
        <v>111</v>
      </c>
      <c r="H287" s="19" t="s">
        <v>111</v>
      </c>
      <c r="I287" s="39">
        <v>45341</v>
      </c>
      <c r="J287" s="17" t="e">
        <v>#N/A</v>
      </c>
      <c r="K287" s="11"/>
    </row>
    <row r="288" spans="1:11" s="1" customFormat="1" ht="30" customHeight="1" x14ac:dyDescent="0.25">
      <c r="A288" s="1">
        <v>287</v>
      </c>
      <c r="B288" s="21"/>
      <c r="C288" s="20" t="s">
        <v>440</v>
      </c>
      <c r="D288" s="19" t="s">
        <v>19</v>
      </c>
      <c r="E288" s="16" t="s">
        <v>16</v>
      </c>
      <c r="F288" s="19" t="s">
        <v>129</v>
      </c>
      <c r="G288" s="143" t="s">
        <v>111</v>
      </c>
      <c r="H288" s="19" t="s">
        <v>111</v>
      </c>
      <c r="I288" s="22">
        <v>46083</v>
      </c>
      <c r="J288" s="17" t="e">
        <v>#N/A</v>
      </c>
      <c r="K288" s="21"/>
    </row>
    <row r="289" spans="1:11" s="1" customFormat="1" ht="30" customHeight="1" x14ac:dyDescent="0.25">
      <c r="A289" s="1">
        <v>288</v>
      </c>
      <c r="B289" s="163"/>
      <c r="C289" s="19" t="s">
        <v>442</v>
      </c>
      <c r="D289" s="15" t="s">
        <v>19</v>
      </c>
      <c r="E289" s="16" t="s">
        <v>16</v>
      </c>
      <c r="F289" s="15" t="s">
        <v>38</v>
      </c>
      <c r="G289" s="15" t="s">
        <v>594</v>
      </c>
      <c r="H289" s="15" t="s">
        <v>594</v>
      </c>
      <c r="I289" s="39">
        <v>45477</v>
      </c>
      <c r="J289" s="17" t="e">
        <v>#N/A</v>
      </c>
      <c r="K289" s="11"/>
    </row>
    <row r="290" spans="1:11" s="1" customFormat="1" ht="30" customHeight="1" x14ac:dyDescent="0.25">
      <c r="A290" s="1">
        <v>289</v>
      </c>
      <c r="B290" s="163"/>
      <c r="C290" s="11" t="s">
        <v>443</v>
      </c>
      <c r="D290" s="15" t="s">
        <v>19</v>
      </c>
      <c r="E290" s="16" t="s">
        <v>16</v>
      </c>
      <c r="F290" s="15" t="s">
        <v>367</v>
      </c>
      <c r="G290" s="15" t="s">
        <v>596</v>
      </c>
      <c r="H290" s="15" t="s">
        <v>596</v>
      </c>
      <c r="I290" s="26">
        <v>45584</v>
      </c>
      <c r="J290" s="17" t="e">
        <v>#N/A</v>
      </c>
      <c r="K290" s="11"/>
    </row>
    <row r="291" spans="1:11" s="1" customFormat="1" ht="30" customHeight="1" x14ac:dyDescent="0.25">
      <c r="A291" s="1">
        <v>290</v>
      </c>
      <c r="B291" s="23"/>
      <c r="C291" s="40" t="s">
        <v>444</v>
      </c>
      <c r="D291" s="36" t="s">
        <v>19</v>
      </c>
      <c r="E291" s="41" t="s">
        <v>16</v>
      </c>
      <c r="F291" s="36" t="s">
        <v>367</v>
      </c>
      <c r="G291" s="139" t="s">
        <v>596</v>
      </c>
      <c r="H291" s="36" t="s">
        <v>596</v>
      </c>
      <c r="I291" s="94">
        <v>46083</v>
      </c>
      <c r="J291" s="17" t="e">
        <v>#N/A</v>
      </c>
      <c r="K291" s="23"/>
    </row>
    <row r="292" spans="1:11" s="1" customFormat="1" ht="30" customHeight="1" x14ac:dyDescent="0.25">
      <c r="A292" s="1">
        <v>291</v>
      </c>
      <c r="B292" s="163"/>
      <c r="C292" s="20" t="s">
        <v>445</v>
      </c>
      <c r="D292" s="36" t="s">
        <v>19</v>
      </c>
      <c r="E292" s="41" t="s">
        <v>16</v>
      </c>
      <c r="F292" s="36" t="s">
        <v>367</v>
      </c>
      <c r="G292" s="139" t="s">
        <v>596</v>
      </c>
      <c r="H292" s="36" t="s">
        <v>596</v>
      </c>
      <c r="I292" s="22">
        <v>46119</v>
      </c>
      <c r="J292" s="17" t="e">
        <v>#N/A</v>
      </c>
      <c r="K292" s="11"/>
    </row>
    <row r="293" spans="1:11" s="1" customFormat="1" ht="30" customHeight="1" x14ac:dyDescent="0.25">
      <c r="A293" s="1">
        <v>292</v>
      </c>
      <c r="B293" s="163"/>
      <c r="C293" s="15" t="s">
        <v>447</v>
      </c>
      <c r="D293" s="15" t="s">
        <v>15</v>
      </c>
      <c r="E293" s="31" t="s">
        <v>16</v>
      </c>
      <c r="F293" s="15" t="s">
        <v>38</v>
      </c>
      <c r="G293" s="15" t="s">
        <v>594</v>
      </c>
      <c r="H293" s="15" t="s">
        <v>594</v>
      </c>
      <c r="I293" s="117">
        <v>45151</v>
      </c>
      <c r="J293" s="17" t="e">
        <v>#N/A</v>
      </c>
      <c r="K293" s="11"/>
    </row>
    <row r="294" spans="1:11" s="1" customFormat="1" ht="30" customHeight="1" x14ac:dyDescent="0.25">
      <c r="A294" s="1">
        <v>293</v>
      </c>
      <c r="B294" s="163"/>
      <c r="C294" s="118" t="s">
        <v>448</v>
      </c>
      <c r="D294" s="15" t="s">
        <v>15</v>
      </c>
      <c r="E294" s="16" t="s">
        <v>16</v>
      </c>
      <c r="F294" s="15" t="s">
        <v>38</v>
      </c>
      <c r="G294" s="15" t="s">
        <v>594</v>
      </c>
      <c r="H294" s="15" t="s">
        <v>594</v>
      </c>
      <c r="I294" s="114">
        <v>45151</v>
      </c>
      <c r="J294" s="17" t="e">
        <v>#N/A</v>
      </c>
      <c r="K294" s="11"/>
    </row>
    <row r="295" spans="1:11" s="1" customFormat="1" ht="30" customHeight="1" x14ac:dyDescent="0.25">
      <c r="A295" s="1">
        <v>294</v>
      </c>
      <c r="B295" s="163"/>
      <c r="C295" s="11" t="s">
        <v>449</v>
      </c>
      <c r="D295" s="15" t="s">
        <v>15</v>
      </c>
      <c r="E295" s="16" t="s">
        <v>16</v>
      </c>
      <c r="F295" s="15" t="s">
        <v>38</v>
      </c>
      <c r="G295" s="15" t="s">
        <v>594</v>
      </c>
      <c r="H295" s="15" t="s">
        <v>594</v>
      </c>
      <c r="I295" s="26">
        <v>45819</v>
      </c>
      <c r="J295" s="17" t="e">
        <v>#N/A</v>
      </c>
      <c r="K295" s="11"/>
    </row>
    <row r="296" spans="1:11" s="1" customFormat="1" ht="30" customHeight="1" x14ac:dyDescent="0.25">
      <c r="A296" s="1">
        <v>295</v>
      </c>
      <c r="B296" s="163"/>
      <c r="C296" s="15" t="s">
        <v>450</v>
      </c>
      <c r="D296" s="61" t="s">
        <v>15</v>
      </c>
      <c r="E296" s="16" t="s">
        <v>16</v>
      </c>
      <c r="F296" s="15" t="s">
        <v>38</v>
      </c>
      <c r="G296" s="15" t="s">
        <v>594</v>
      </c>
      <c r="H296" s="15" t="s">
        <v>594</v>
      </c>
      <c r="I296" s="114">
        <v>45151</v>
      </c>
      <c r="J296" s="17" t="e">
        <v>#N/A</v>
      </c>
      <c r="K296" s="11"/>
    </row>
    <row r="297" spans="1:11" s="1" customFormat="1" ht="30" customHeight="1" x14ac:dyDescent="0.25">
      <c r="A297" s="1">
        <v>296</v>
      </c>
      <c r="B297" s="23"/>
      <c r="C297" s="119"/>
      <c r="D297" s="19"/>
      <c r="E297" s="16"/>
      <c r="F297" s="31"/>
      <c r="G297" s="31"/>
      <c r="H297" s="31"/>
      <c r="I297" s="32"/>
      <c r="J297" s="17" t="e">
        <v>#N/A</v>
      </c>
      <c r="K297" s="23"/>
    </row>
    <row r="298" spans="1:11" s="1" customFormat="1" ht="30" customHeight="1" x14ac:dyDescent="0.25">
      <c r="A298" s="1">
        <v>297</v>
      </c>
      <c r="B298" s="163"/>
      <c r="C298" s="15" t="s">
        <v>452</v>
      </c>
      <c r="D298" s="15" t="s">
        <v>15</v>
      </c>
      <c r="E298" s="16" t="s">
        <v>16</v>
      </c>
      <c r="F298" s="15" t="s">
        <v>38</v>
      </c>
      <c r="G298" s="15" t="s">
        <v>594</v>
      </c>
      <c r="H298" s="15" t="s">
        <v>594</v>
      </c>
      <c r="I298" s="114">
        <v>45151</v>
      </c>
      <c r="J298" s="17" t="e">
        <v>#N/A</v>
      </c>
      <c r="K298" s="11"/>
    </row>
    <row r="299" spans="1:11" s="1" customFormat="1" ht="30" customHeight="1" x14ac:dyDescent="0.25">
      <c r="A299" s="1">
        <v>298</v>
      </c>
      <c r="B299" s="163"/>
      <c r="C299" s="11" t="s">
        <v>453</v>
      </c>
      <c r="D299" s="15" t="s">
        <v>15</v>
      </c>
      <c r="E299" s="16" t="s">
        <v>16</v>
      </c>
      <c r="F299" s="15" t="s">
        <v>38</v>
      </c>
      <c r="G299" s="15" t="s">
        <v>594</v>
      </c>
      <c r="H299" s="15" t="s">
        <v>594</v>
      </c>
      <c r="I299" s="26">
        <v>45812</v>
      </c>
      <c r="J299" s="17" t="e">
        <v>#N/A</v>
      </c>
      <c r="K299" s="11"/>
    </row>
    <row r="300" spans="1:11" s="1" customFormat="1" ht="30" customHeight="1" x14ac:dyDescent="0.25">
      <c r="A300" s="1">
        <v>299</v>
      </c>
      <c r="B300" s="176"/>
      <c r="C300" s="112"/>
      <c r="D300" s="43"/>
      <c r="E300" s="44"/>
      <c r="F300" s="43"/>
      <c r="G300" s="43"/>
      <c r="H300" s="43"/>
      <c r="I300" s="46"/>
      <c r="J300" s="17" t="e">
        <v>#N/A</v>
      </c>
      <c r="K300" s="20"/>
    </row>
    <row r="301" spans="1:11" s="1" customFormat="1" ht="30" customHeight="1" x14ac:dyDescent="0.25">
      <c r="A301" s="1">
        <v>300</v>
      </c>
      <c r="B301" s="163"/>
      <c r="C301" s="15" t="s">
        <v>455</v>
      </c>
      <c r="D301" s="19" t="s">
        <v>15</v>
      </c>
      <c r="E301" s="16" t="s">
        <v>16</v>
      </c>
      <c r="F301" s="15" t="s">
        <v>38</v>
      </c>
      <c r="G301" s="15" t="s">
        <v>594</v>
      </c>
      <c r="H301" s="15" t="s">
        <v>594</v>
      </c>
      <c r="I301" s="39">
        <v>45151</v>
      </c>
      <c r="J301" s="17" t="e">
        <v>#N/A</v>
      </c>
      <c r="K301" s="11"/>
    </row>
    <row r="302" spans="1:11" s="1" customFormat="1" ht="30" customHeight="1" x14ac:dyDescent="0.25">
      <c r="A302" s="1">
        <v>301</v>
      </c>
      <c r="B302" s="112"/>
      <c r="C302" s="15" t="s">
        <v>456</v>
      </c>
      <c r="D302" s="15" t="s">
        <v>15</v>
      </c>
      <c r="E302" s="16" t="s">
        <v>16</v>
      </c>
      <c r="F302" s="15" t="s">
        <v>38</v>
      </c>
      <c r="G302" s="15" t="s">
        <v>594</v>
      </c>
      <c r="H302" s="15" t="s">
        <v>594</v>
      </c>
      <c r="I302" s="39">
        <v>45151</v>
      </c>
      <c r="J302" s="17" t="e">
        <v>#N/A</v>
      </c>
      <c r="K302" s="112"/>
    </row>
    <row r="303" spans="1:11" s="1" customFormat="1" ht="30" customHeight="1" x14ac:dyDescent="0.25">
      <c r="A303" s="1">
        <v>302</v>
      </c>
      <c r="B303" s="23"/>
      <c r="C303" s="118" t="s">
        <v>457</v>
      </c>
      <c r="D303" s="47" t="s">
        <v>15</v>
      </c>
      <c r="E303" s="88" t="s">
        <v>16</v>
      </c>
      <c r="F303" s="47" t="s">
        <v>38</v>
      </c>
      <c r="G303" s="142" t="s">
        <v>594</v>
      </c>
      <c r="H303" s="47" t="s">
        <v>594</v>
      </c>
      <c r="I303" s="120">
        <v>45151</v>
      </c>
      <c r="J303" s="17" t="e">
        <v>#N/A</v>
      </c>
      <c r="K303" s="23"/>
    </row>
    <row r="304" spans="1:11" s="1" customFormat="1" ht="30" customHeight="1" x14ac:dyDescent="0.25">
      <c r="A304" s="1">
        <v>303</v>
      </c>
      <c r="B304" s="24"/>
      <c r="C304" s="113" t="s">
        <v>458</v>
      </c>
      <c r="D304" s="47" t="s">
        <v>15</v>
      </c>
      <c r="E304" s="88" t="s">
        <v>16</v>
      </c>
      <c r="F304" s="47" t="s">
        <v>38</v>
      </c>
      <c r="G304" s="142" t="s">
        <v>594</v>
      </c>
      <c r="H304" s="47" t="s">
        <v>594</v>
      </c>
      <c r="I304" s="25">
        <v>46184</v>
      </c>
      <c r="J304" s="17" t="e">
        <v>#N/A</v>
      </c>
      <c r="K304" s="24"/>
    </row>
    <row r="305" spans="1:11" s="1" customFormat="1" ht="30" customHeight="1" x14ac:dyDescent="0.25">
      <c r="A305" s="1">
        <v>304</v>
      </c>
      <c r="B305" s="163"/>
      <c r="C305" s="61" t="s">
        <v>460</v>
      </c>
      <c r="D305" s="19" t="s">
        <v>15</v>
      </c>
      <c r="E305" s="16" t="s">
        <v>16</v>
      </c>
      <c r="F305" s="15" t="s">
        <v>38</v>
      </c>
      <c r="G305" s="15" t="s">
        <v>594</v>
      </c>
      <c r="H305" s="15" t="s">
        <v>594</v>
      </c>
      <c r="I305" s="114">
        <v>45151</v>
      </c>
      <c r="J305" s="17" t="e">
        <v>#N/A</v>
      </c>
      <c r="K305" s="11"/>
    </row>
    <row r="306" spans="1:11" s="1" customFormat="1" ht="30" customHeight="1" x14ac:dyDescent="0.25">
      <c r="A306" s="1">
        <v>305</v>
      </c>
      <c r="B306" s="163"/>
      <c r="C306" s="15" t="s">
        <v>461</v>
      </c>
      <c r="D306" s="61" t="s">
        <v>15</v>
      </c>
      <c r="E306" s="16" t="s">
        <v>16</v>
      </c>
      <c r="F306" s="15" t="s">
        <v>38</v>
      </c>
      <c r="G306" s="15" t="s">
        <v>594</v>
      </c>
      <c r="H306" s="15" t="s">
        <v>594</v>
      </c>
      <c r="I306" s="114">
        <v>45151</v>
      </c>
      <c r="J306" s="17" t="e">
        <v>#N/A</v>
      </c>
      <c r="K306" s="11"/>
    </row>
    <row r="307" spans="1:11" s="1" customFormat="1" ht="30" customHeight="1" x14ac:dyDescent="0.25">
      <c r="A307" s="1">
        <v>306</v>
      </c>
      <c r="B307" s="163"/>
      <c r="C307" s="15" t="s">
        <v>462</v>
      </c>
      <c r="D307" s="19" t="s">
        <v>15</v>
      </c>
      <c r="E307" s="16" t="s">
        <v>16</v>
      </c>
      <c r="F307" s="15" t="s">
        <v>38</v>
      </c>
      <c r="G307" s="15" t="s">
        <v>594</v>
      </c>
      <c r="H307" s="15" t="s">
        <v>594</v>
      </c>
      <c r="I307" s="114">
        <v>45151</v>
      </c>
      <c r="J307" s="17" t="e">
        <v>#N/A</v>
      </c>
      <c r="K307" s="11"/>
    </row>
    <row r="308" spans="1:11" s="1" customFormat="1" ht="30" customHeight="1" x14ac:dyDescent="0.25">
      <c r="A308" s="1">
        <v>307</v>
      </c>
      <c r="B308" s="163"/>
      <c r="C308" s="15" t="s">
        <v>463</v>
      </c>
      <c r="D308" s="61" t="s">
        <v>15</v>
      </c>
      <c r="E308" s="16" t="s">
        <v>16</v>
      </c>
      <c r="F308" s="15" t="s">
        <v>38</v>
      </c>
      <c r="G308" s="15" t="s">
        <v>594</v>
      </c>
      <c r="H308" s="15" t="s">
        <v>594</v>
      </c>
      <c r="I308" s="114">
        <v>45151</v>
      </c>
      <c r="J308" s="17" t="e">
        <v>#N/A</v>
      </c>
      <c r="K308" s="11"/>
    </row>
    <row r="309" spans="1:11" s="1" customFormat="1" ht="30" customHeight="1" x14ac:dyDescent="0.25">
      <c r="A309" s="1">
        <v>308</v>
      </c>
      <c r="B309" s="163"/>
      <c r="C309" s="15" t="s">
        <v>465</v>
      </c>
      <c r="D309" s="61" t="s">
        <v>15</v>
      </c>
      <c r="E309" s="16" t="s">
        <v>16</v>
      </c>
      <c r="F309" s="15" t="s">
        <v>38</v>
      </c>
      <c r="G309" s="15" t="s">
        <v>594</v>
      </c>
      <c r="H309" s="15" t="s">
        <v>594</v>
      </c>
      <c r="I309" s="114">
        <v>45151</v>
      </c>
      <c r="J309" s="17" t="e">
        <v>#N/A</v>
      </c>
      <c r="K309" s="11"/>
    </row>
    <row r="310" spans="1:11" s="1" customFormat="1" ht="30" customHeight="1" x14ac:dyDescent="0.25">
      <c r="A310" s="1">
        <v>309</v>
      </c>
      <c r="B310" s="163"/>
      <c r="C310" s="15" t="s">
        <v>466</v>
      </c>
      <c r="D310" s="15" t="s">
        <v>15</v>
      </c>
      <c r="E310" s="16" t="s">
        <v>16</v>
      </c>
      <c r="F310" s="15" t="s">
        <v>38</v>
      </c>
      <c r="G310" s="15" t="s">
        <v>594</v>
      </c>
      <c r="H310" s="15" t="s">
        <v>594</v>
      </c>
      <c r="I310" s="114">
        <v>45151</v>
      </c>
      <c r="J310" s="17" t="e">
        <v>#N/A</v>
      </c>
      <c r="K310" s="11"/>
    </row>
    <row r="311" spans="1:11" s="1" customFormat="1" ht="30" customHeight="1" x14ac:dyDescent="0.25">
      <c r="A311" s="1">
        <v>310</v>
      </c>
      <c r="B311" s="163"/>
      <c r="C311" s="29" t="s">
        <v>467</v>
      </c>
      <c r="D311" s="19" t="s">
        <v>15</v>
      </c>
      <c r="E311" s="16" t="s">
        <v>16</v>
      </c>
      <c r="F311" s="15" t="s">
        <v>367</v>
      </c>
      <c r="G311" s="15" t="s">
        <v>596</v>
      </c>
      <c r="H311" s="15" t="s">
        <v>596</v>
      </c>
      <c r="I311" s="39">
        <v>45546</v>
      </c>
      <c r="J311" s="17" t="e">
        <v>#N/A</v>
      </c>
      <c r="K311" s="11"/>
    </row>
    <row r="312" spans="1:11" s="1" customFormat="1" ht="30" customHeight="1" x14ac:dyDescent="0.25">
      <c r="A312" s="1">
        <v>311</v>
      </c>
      <c r="B312" s="176"/>
      <c r="C312" s="20" t="s">
        <v>468</v>
      </c>
      <c r="D312" s="19" t="s">
        <v>15</v>
      </c>
      <c r="E312" s="16" t="s">
        <v>16</v>
      </c>
      <c r="F312" s="15" t="s">
        <v>367</v>
      </c>
      <c r="G312" s="15" t="s">
        <v>596</v>
      </c>
      <c r="H312" s="15" t="s">
        <v>596</v>
      </c>
      <c r="I312" s="22">
        <v>45905</v>
      </c>
      <c r="J312" s="17" t="e">
        <v>#N/A</v>
      </c>
      <c r="K312" s="20"/>
    </row>
    <row r="313" spans="1:11" s="1" customFormat="1" ht="30" customHeight="1" x14ac:dyDescent="0.25">
      <c r="A313" s="1">
        <v>312</v>
      </c>
      <c r="B313" s="23"/>
      <c r="C313" s="19" t="s">
        <v>470</v>
      </c>
      <c r="D313" s="19" t="s">
        <v>15</v>
      </c>
      <c r="E313" s="16" t="s">
        <v>16</v>
      </c>
      <c r="F313" s="19" t="s">
        <v>38</v>
      </c>
      <c r="G313" s="143" t="s">
        <v>594</v>
      </c>
      <c r="H313" s="19" t="s">
        <v>594</v>
      </c>
      <c r="I313" s="39">
        <v>45151</v>
      </c>
      <c r="J313" s="17" t="e">
        <v>#N/A</v>
      </c>
      <c r="K313" s="23"/>
    </row>
    <row r="314" spans="1:11" s="1" customFormat="1" ht="30" customHeight="1" x14ac:dyDescent="0.25">
      <c r="A314" s="1">
        <v>313</v>
      </c>
      <c r="B314" s="163"/>
      <c r="C314" s="15" t="s">
        <v>471</v>
      </c>
      <c r="D314" s="19" t="s">
        <v>15</v>
      </c>
      <c r="E314" s="16" t="s">
        <v>16</v>
      </c>
      <c r="F314" s="19" t="s">
        <v>38</v>
      </c>
      <c r="G314" s="143" t="s">
        <v>594</v>
      </c>
      <c r="H314" s="19" t="s">
        <v>594</v>
      </c>
      <c r="I314" s="39">
        <v>45208</v>
      </c>
      <c r="J314" s="17" t="e">
        <v>#N/A</v>
      </c>
      <c r="K314" s="11"/>
    </row>
    <row r="315" spans="1:11" s="1" customFormat="1" ht="30" customHeight="1" x14ac:dyDescent="0.25">
      <c r="A315" s="1">
        <v>314</v>
      </c>
      <c r="B315" s="163"/>
      <c r="C315" s="24" t="s">
        <v>472</v>
      </c>
      <c r="D315" s="19" t="s">
        <v>15</v>
      </c>
      <c r="E315" s="16" t="s">
        <v>16</v>
      </c>
      <c r="F315" s="19" t="s">
        <v>38</v>
      </c>
      <c r="G315" s="143" t="s">
        <v>594</v>
      </c>
      <c r="H315" s="19" t="s">
        <v>594</v>
      </c>
      <c r="I315" s="25">
        <v>45709</v>
      </c>
      <c r="J315" s="17" t="e">
        <v>#N/A</v>
      </c>
      <c r="K315" s="11"/>
    </row>
    <row r="316" spans="1:11" s="1" customFormat="1" ht="30" customHeight="1" x14ac:dyDescent="0.25">
      <c r="A316" s="1">
        <v>315</v>
      </c>
      <c r="B316" s="163"/>
      <c r="C316" s="20" t="s">
        <v>473</v>
      </c>
      <c r="D316" s="47" t="s">
        <v>15</v>
      </c>
      <c r="E316" s="88" t="s">
        <v>16</v>
      </c>
      <c r="F316" s="47" t="s">
        <v>38</v>
      </c>
      <c r="G316" s="142" t="s">
        <v>594</v>
      </c>
      <c r="H316" s="47" t="s">
        <v>594</v>
      </c>
      <c r="I316" s="22">
        <v>46167</v>
      </c>
      <c r="J316" s="17" t="e">
        <v>#N/A</v>
      </c>
      <c r="K316" s="11"/>
    </row>
    <row r="317" spans="1:11" s="1" customFormat="1" ht="30" customHeight="1" x14ac:dyDescent="0.25">
      <c r="A317" s="1">
        <v>316</v>
      </c>
      <c r="B317" s="163"/>
      <c r="C317" s="11" t="s">
        <v>475</v>
      </c>
      <c r="D317" s="15" t="s">
        <v>15</v>
      </c>
      <c r="E317" s="31" t="s">
        <v>16</v>
      </c>
      <c r="F317" s="15" t="s">
        <v>129</v>
      </c>
      <c r="G317" s="15" t="s">
        <v>111</v>
      </c>
      <c r="H317" s="15" t="s">
        <v>111</v>
      </c>
      <c r="I317" s="26">
        <v>45588</v>
      </c>
      <c r="J317" s="17" t="e">
        <v>#N/A</v>
      </c>
      <c r="K317" s="11"/>
    </row>
    <row r="318" spans="1:11" s="1" customFormat="1" ht="30" customHeight="1" x14ac:dyDescent="0.25">
      <c r="A318" s="1">
        <v>317</v>
      </c>
      <c r="B318" s="163"/>
      <c r="C318" s="110" t="s">
        <v>476</v>
      </c>
      <c r="D318" s="15" t="s">
        <v>15</v>
      </c>
      <c r="E318" s="16" t="s">
        <v>16</v>
      </c>
      <c r="F318" s="15" t="s">
        <v>129</v>
      </c>
      <c r="G318" s="15" t="s">
        <v>111</v>
      </c>
      <c r="H318" s="15" t="s">
        <v>111</v>
      </c>
      <c r="I318" s="39">
        <v>45579</v>
      </c>
      <c r="J318" s="17" t="e">
        <v>#N/A</v>
      </c>
      <c r="K318" s="11"/>
    </row>
    <row r="319" spans="1:11" s="1" customFormat="1" ht="30" customHeight="1" x14ac:dyDescent="0.25">
      <c r="A319" s="1">
        <v>318</v>
      </c>
      <c r="B319" s="163"/>
      <c r="C319" s="110" t="s">
        <v>477</v>
      </c>
      <c r="D319" s="15" t="s">
        <v>15</v>
      </c>
      <c r="E319" s="16" t="s">
        <v>16</v>
      </c>
      <c r="F319" s="15" t="s">
        <v>129</v>
      </c>
      <c r="G319" s="15" t="s">
        <v>111</v>
      </c>
      <c r="H319" s="15" t="s">
        <v>111</v>
      </c>
      <c r="I319" s="39">
        <v>45579</v>
      </c>
      <c r="J319" s="17" t="e">
        <v>#N/A</v>
      </c>
      <c r="K319" s="11"/>
    </row>
    <row r="320" spans="1:11" s="1" customFormat="1" ht="30" customHeight="1" x14ac:dyDescent="0.25">
      <c r="A320" s="1">
        <v>319</v>
      </c>
      <c r="B320" s="21"/>
      <c r="C320" s="19" t="s">
        <v>478</v>
      </c>
      <c r="D320" s="19" t="s">
        <v>15</v>
      </c>
      <c r="E320" s="21" t="s">
        <v>16</v>
      </c>
      <c r="F320" s="21" t="s">
        <v>129</v>
      </c>
      <c r="G320" s="21" t="s">
        <v>111</v>
      </c>
      <c r="H320" s="21" t="s">
        <v>111</v>
      </c>
      <c r="I320" s="26">
        <v>45909</v>
      </c>
      <c r="J320" s="17" t="e">
        <v>#N/A</v>
      </c>
      <c r="K320" s="21"/>
    </row>
    <row r="321" spans="1:11" s="1" customFormat="1" ht="30" customHeight="1" x14ac:dyDescent="0.25">
      <c r="A321" s="1">
        <v>320</v>
      </c>
      <c r="B321" s="163"/>
      <c r="C321" s="15" t="s">
        <v>480</v>
      </c>
      <c r="D321" s="15" t="s">
        <v>15</v>
      </c>
      <c r="E321" s="16" t="s">
        <v>16</v>
      </c>
      <c r="F321" s="15" t="s">
        <v>17</v>
      </c>
      <c r="G321" s="15" t="s">
        <v>587</v>
      </c>
      <c r="H321" s="15" t="s">
        <v>587</v>
      </c>
      <c r="I321" s="39">
        <v>45151</v>
      </c>
      <c r="J321" s="17" t="e">
        <v>#N/A</v>
      </c>
      <c r="K321" s="11"/>
    </row>
    <row r="322" spans="1:11" s="1" customFormat="1" ht="30" customHeight="1" x14ac:dyDescent="0.25">
      <c r="A322" s="1">
        <v>321</v>
      </c>
      <c r="B322" s="23"/>
      <c r="C322" s="15" t="s">
        <v>481</v>
      </c>
      <c r="D322" s="15" t="s">
        <v>15</v>
      </c>
      <c r="E322" s="16" t="s">
        <v>16</v>
      </c>
      <c r="F322" s="15" t="s">
        <v>34</v>
      </c>
      <c r="G322" s="15" t="s">
        <v>593</v>
      </c>
      <c r="H322" s="15" t="s">
        <v>593</v>
      </c>
      <c r="I322" s="39">
        <v>45524</v>
      </c>
      <c r="J322" s="17" t="e">
        <v>#N/A</v>
      </c>
      <c r="K322" s="23"/>
    </row>
    <row r="323" spans="1:11" s="1" customFormat="1" ht="30" customHeight="1" x14ac:dyDescent="0.25">
      <c r="A323" s="1">
        <v>322</v>
      </c>
      <c r="B323" s="163"/>
      <c r="C323" s="29" t="s">
        <v>482</v>
      </c>
      <c r="D323" s="61" t="s">
        <v>15</v>
      </c>
      <c r="E323" s="16" t="s">
        <v>16</v>
      </c>
      <c r="F323" s="15" t="s">
        <v>17</v>
      </c>
      <c r="G323" s="15" t="s">
        <v>587</v>
      </c>
      <c r="H323" s="15" t="s">
        <v>587</v>
      </c>
      <c r="I323" s="39">
        <v>45713</v>
      </c>
      <c r="J323" s="17" t="e">
        <v>#N/A</v>
      </c>
      <c r="K323" s="11"/>
    </row>
    <row r="324" spans="1:11" s="1" customFormat="1" ht="30" customHeight="1" x14ac:dyDescent="0.25">
      <c r="A324" s="1">
        <v>323</v>
      </c>
      <c r="B324" s="163"/>
      <c r="C324" s="11" t="s">
        <v>483</v>
      </c>
      <c r="D324" s="15" t="s">
        <v>15</v>
      </c>
      <c r="E324" s="31" t="s">
        <v>16</v>
      </c>
      <c r="F324" s="15" t="s">
        <v>17</v>
      </c>
      <c r="G324" s="15" t="s">
        <v>587</v>
      </c>
      <c r="H324" s="15" t="s">
        <v>587</v>
      </c>
      <c r="I324" s="26">
        <v>45713</v>
      </c>
      <c r="J324" s="17" t="e">
        <v>#N/A</v>
      </c>
      <c r="K324" s="11"/>
    </row>
    <row r="325" spans="1:11" s="1" customFormat="1" ht="30" customHeight="1" x14ac:dyDescent="0.25">
      <c r="A325" s="1">
        <v>324</v>
      </c>
      <c r="B325" s="23"/>
      <c r="C325" s="20" t="s">
        <v>485</v>
      </c>
      <c r="D325" s="15" t="s">
        <v>15</v>
      </c>
      <c r="E325" s="16" t="s">
        <v>16</v>
      </c>
      <c r="F325" s="15" t="s">
        <v>22</v>
      </c>
      <c r="G325" s="15" t="s">
        <v>590</v>
      </c>
      <c r="H325" s="15" t="s">
        <v>590</v>
      </c>
      <c r="I325" s="22">
        <v>45700</v>
      </c>
      <c r="J325" s="17" t="e">
        <v>#N/A</v>
      </c>
      <c r="K325" s="23"/>
    </row>
    <row r="326" spans="1:11" s="1" customFormat="1" ht="30" customHeight="1" x14ac:dyDescent="0.25">
      <c r="A326" s="1">
        <v>325</v>
      </c>
      <c r="B326" s="44"/>
      <c r="C326" s="24" t="s">
        <v>486</v>
      </c>
      <c r="D326" s="15" t="s">
        <v>15</v>
      </c>
      <c r="E326" s="16" t="s">
        <v>16</v>
      </c>
      <c r="F326" s="15" t="s">
        <v>22</v>
      </c>
      <c r="G326" s="15" t="s">
        <v>590</v>
      </c>
      <c r="H326" s="15" t="s">
        <v>590</v>
      </c>
      <c r="I326" s="25">
        <v>46154</v>
      </c>
      <c r="J326" s="17" t="e">
        <v>#N/A</v>
      </c>
      <c r="K326" s="44"/>
    </row>
    <row r="327" spans="1:11" s="1" customFormat="1" ht="30" customHeight="1" x14ac:dyDescent="0.25">
      <c r="A327" s="1">
        <v>326</v>
      </c>
      <c r="B327" s="23"/>
      <c r="C327" s="20" t="s">
        <v>487</v>
      </c>
      <c r="D327" s="15" t="s">
        <v>15</v>
      </c>
      <c r="E327" s="16" t="s">
        <v>16</v>
      </c>
      <c r="F327" s="15" t="s">
        <v>22</v>
      </c>
      <c r="G327" s="15" t="s">
        <v>590</v>
      </c>
      <c r="H327" s="15" t="s">
        <v>590</v>
      </c>
      <c r="I327" s="25">
        <v>46155</v>
      </c>
      <c r="J327" s="17" t="e">
        <v>#N/A</v>
      </c>
      <c r="K327" s="23"/>
    </row>
    <row r="328" spans="1:11" s="1" customFormat="1" ht="30" customHeight="1" x14ac:dyDescent="0.25">
      <c r="A328" s="1">
        <v>327</v>
      </c>
      <c r="B328" s="23"/>
      <c r="C328" s="24" t="s">
        <v>488</v>
      </c>
      <c r="D328" s="15" t="s">
        <v>15</v>
      </c>
      <c r="E328" s="16" t="s">
        <v>16</v>
      </c>
      <c r="F328" s="15" t="s">
        <v>22</v>
      </c>
      <c r="G328" s="15" t="s">
        <v>590</v>
      </c>
      <c r="H328" s="15" t="s">
        <v>590</v>
      </c>
      <c r="I328" s="22">
        <v>45756</v>
      </c>
      <c r="J328" s="17" t="e">
        <v>#N/A</v>
      </c>
      <c r="K328" s="23"/>
    </row>
    <row r="329" spans="1:11" s="1" customFormat="1" ht="30" customHeight="1" x14ac:dyDescent="0.25">
      <c r="A329" s="1">
        <v>328</v>
      </c>
      <c r="B329" s="163"/>
      <c r="C329" s="61" t="s">
        <v>490</v>
      </c>
      <c r="D329" s="15" t="s">
        <v>15</v>
      </c>
      <c r="E329" s="16" t="s">
        <v>16</v>
      </c>
      <c r="F329" s="15" t="s">
        <v>17</v>
      </c>
      <c r="G329" s="15" t="s">
        <v>587</v>
      </c>
      <c r="H329" s="15" t="s">
        <v>587</v>
      </c>
      <c r="I329" s="39">
        <v>45814</v>
      </c>
      <c r="J329" s="17" t="e">
        <v>#N/A</v>
      </c>
      <c r="K329" s="11"/>
    </row>
    <row r="330" spans="1:11" s="1" customFormat="1" ht="30" customHeight="1" x14ac:dyDescent="0.25">
      <c r="A330" s="1">
        <v>329</v>
      </c>
      <c r="B330" s="163"/>
      <c r="C330" s="33" t="s">
        <v>491</v>
      </c>
      <c r="D330" s="15" t="s">
        <v>15</v>
      </c>
      <c r="E330" s="16" t="s">
        <v>16</v>
      </c>
      <c r="F330" s="15" t="s">
        <v>17</v>
      </c>
      <c r="G330" s="15" t="s">
        <v>587</v>
      </c>
      <c r="H330" s="15" t="s">
        <v>587</v>
      </c>
      <c r="I330" s="39">
        <v>46196</v>
      </c>
      <c r="J330" s="17" t="e">
        <v>#N/A</v>
      </c>
      <c r="K330" s="11"/>
    </row>
    <row r="331" spans="1:11" s="1" customFormat="1" ht="30" customHeight="1" x14ac:dyDescent="0.25">
      <c r="A331" s="1">
        <v>330</v>
      </c>
      <c r="B331" s="163"/>
      <c r="C331" s="40" t="s">
        <v>493</v>
      </c>
      <c r="D331" s="14" t="s">
        <v>15</v>
      </c>
      <c r="E331" s="59" t="s">
        <v>16</v>
      </c>
      <c r="F331" s="40" t="s">
        <v>17</v>
      </c>
      <c r="G331" s="144" t="s">
        <v>587</v>
      </c>
      <c r="H331" s="40" t="s">
        <v>587</v>
      </c>
      <c r="I331" s="94">
        <v>46088</v>
      </c>
      <c r="J331" s="17" t="e">
        <v>#N/A</v>
      </c>
      <c r="K331" s="11"/>
    </row>
    <row r="332" spans="1:11" s="1" customFormat="1" ht="30" customHeight="1" x14ac:dyDescent="0.25">
      <c r="A332" s="1">
        <v>331</v>
      </c>
      <c r="B332" s="112"/>
      <c r="C332" s="24" t="s">
        <v>494</v>
      </c>
      <c r="D332" s="14" t="s">
        <v>15</v>
      </c>
      <c r="E332" s="59" t="s">
        <v>16</v>
      </c>
      <c r="F332" s="40" t="s">
        <v>17</v>
      </c>
      <c r="G332" s="144" t="s">
        <v>587</v>
      </c>
      <c r="H332" s="40" t="s">
        <v>587</v>
      </c>
      <c r="I332" s="25">
        <v>46171</v>
      </c>
      <c r="J332" s="17" t="e">
        <v>#N/A</v>
      </c>
      <c r="K332" s="112"/>
    </row>
    <row r="333" spans="1:11" s="1" customFormat="1" ht="30" customHeight="1" x14ac:dyDescent="0.25">
      <c r="A333" s="1">
        <v>332</v>
      </c>
      <c r="B333" s="124"/>
      <c r="C333" s="19" t="s">
        <v>496</v>
      </c>
      <c r="D333" s="15" t="s">
        <v>15</v>
      </c>
      <c r="E333" s="16" t="s">
        <v>16</v>
      </c>
      <c r="F333" s="81" t="s">
        <v>17</v>
      </c>
      <c r="G333" s="81" t="s">
        <v>587</v>
      </c>
      <c r="H333" s="81" t="s">
        <v>587</v>
      </c>
      <c r="I333" s="39">
        <v>45151</v>
      </c>
      <c r="J333" s="17" t="e">
        <v>#N/A</v>
      </c>
      <c r="K333" s="124"/>
    </row>
    <row r="334" spans="1:11" s="1" customFormat="1" ht="30" customHeight="1" x14ac:dyDescent="0.25">
      <c r="A334" s="1">
        <v>333</v>
      </c>
      <c r="B334" s="124"/>
      <c r="C334" s="31" t="s">
        <v>497</v>
      </c>
      <c r="D334" s="15" t="s">
        <v>15</v>
      </c>
      <c r="E334" s="31" t="s">
        <v>16</v>
      </c>
      <c r="F334" s="15" t="s">
        <v>17</v>
      </c>
      <c r="G334" s="15" t="s">
        <v>587</v>
      </c>
      <c r="H334" s="15" t="s">
        <v>587</v>
      </c>
      <c r="I334" s="39">
        <v>45151</v>
      </c>
      <c r="J334" s="17" t="e">
        <v>#N/A</v>
      </c>
      <c r="K334" s="124"/>
    </row>
    <row r="335" spans="1:11" s="1" customFormat="1" ht="30" customHeight="1" x14ac:dyDescent="0.25">
      <c r="A335" s="1">
        <v>334</v>
      </c>
      <c r="B335" s="124"/>
      <c r="C335" s="126" t="s">
        <v>498</v>
      </c>
      <c r="D335" s="126" t="s">
        <v>15</v>
      </c>
      <c r="E335" s="126" t="s">
        <v>16</v>
      </c>
      <c r="F335" s="126" t="s">
        <v>17</v>
      </c>
      <c r="G335" s="126" t="s">
        <v>587</v>
      </c>
      <c r="H335" s="126" t="s">
        <v>587</v>
      </c>
      <c r="I335" s="25">
        <v>45824</v>
      </c>
      <c r="J335" s="17" t="e">
        <v>#N/A</v>
      </c>
      <c r="K335" s="124"/>
    </row>
    <row r="336" spans="1:11" s="1" customFormat="1" ht="30" customHeight="1" x14ac:dyDescent="0.25">
      <c r="A336" s="1">
        <v>335</v>
      </c>
      <c r="B336" s="112"/>
      <c r="C336" s="113" t="s">
        <v>499</v>
      </c>
      <c r="D336" s="42" t="s">
        <v>15</v>
      </c>
      <c r="E336" s="41" t="s">
        <v>16</v>
      </c>
      <c r="F336" s="15" t="s">
        <v>129</v>
      </c>
      <c r="G336" s="15" t="s">
        <v>111</v>
      </c>
      <c r="H336" s="15" t="s">
        <v>111</v>
      </c>
      <c r="I336" s="26">
        <v>46174</v>
      </c>
      <c r="J336" s="17" t="e">
        <v>#N/A</v>
      </c>
      <c r="K336" s="112"/>
    </row>
    <row r="337" spans="1:11" s="1" customFormat="1" ht="30" customHeight="1" x14ac:dyDescent="0.25">
      <c r="A337" s="1">
        <v>336</v>
      </c>
      <c r="B337" s="163"/>
      <c r="C337" s="37" t="s">
        <v>501</v>
      </c>
      <c r="D337" s="15" t="s">
        <v>15</v>
      </c>
      <c r="E337" s="31" t="s">
        <v>16</v>
      </c>
      <c r="F337" s="37" t="s">
        <v>34</v>
      </c>
      <c r="G337" s="140" t="s">
        <v>593</v>
      </c>
      <c r="H337" s="37" t="s">
        <v>593</v>
      </c>
      <c r="I337" s="120">
        <v>45151</v>
      </c>
      <c r="J337" s="17" t="e">
        <v>#N/A</v>
      </c>
      <c r="K337" s="11"/>
    </row>
    <row r="338" spans="1:11" s="1" customFormat="1" ht="30" customHeight="1" x14ac:dyDescent="0.25">
      <c r="A338" s="1">
        <v>337</v>
      </c>
      <c r="B338" s="163"/>
      <c r="C338" s="57" t="s">
        <v>502</v>
      </c>
      <c r="D338" s="19" t="s">
        <v>15</v>
      </c>
      <c r="E338" s="16" t="s">
        <v>16</v>
      </c>
      <c r="F338" s="19" t="s">
        <v>34</v>
      </c>
      <c r="G338" s="143" t="s">
        <v>593</v>
      </c>
      <c r="H338" s="19" t="s">
        <v>593</v>
      </c>
      <c r="I338" s="39">
        <v>45868</v>
      </c>
      <c r="J338" s="17" t="e">
        <v>#N/A</v>
      </c>
      <c r="K338" s="11"/>
    </row>
    <row r="339" spans="1:11" s="1" customFormat="1" ht="30" customHeight="1" x14ac:dyDescent="0.25">
      <c r="A339" s="1">
        <v>338</v>
      </c>
      <c r="B339" s="163"/>
      <c r="C339" s="15" t="s">
        <v>503</v>
      </c>
      <c r="D339" s="15" t="s">
        <v>15</v>
      </c>
      <c r="E339" s="31" t="s">
        <v>16</v>
      </c>
      <c r="F339" s="15" t="s">
        <v>34</v>
      </c>
      <c r="G339" s="15" t="s">
        <v>593</v>
      </c>
      <c r="H339" s="15" t="s">
        <v>593</v>
      </c>
      <c r="I339" s="39">
        <v>45151</v>
      </c>
      <c r="J339" s="17" t="e">
        <v>#N/A</v>
      </c>
      <c r="K339" s="11"/>
    </row>
    <row r="340" spans="1:11" s="1" customFormat="1" ht="30" customHeight="1" x14ac:dyDescent="0.25">
      <c r="A340" s="1">
        <v>339</v>
      </c>
      <c r="B340" s="88"/>
      <c r="C340" s="29" t="s">
        <v>504</v>
      </c>
      <c r="D340" s="19" t="s">
        <v>15</v>
      </c>
      <c r="E340" s="16" t="s">
        <v>16</v>
      </c>
      <c r="F340" s="19" t="s">
        <v>34</v>
      </c>
      <c r="G340" s="143" t="s">
        <v>593</v>
      </c>
      <c r="H340" s="19" t="s">
        <v>593</v>
      </c>
      <c r="I340" s="39">
        <v>45151</v>
      </c>
      <c r="J340" s="17" t="e">
        <v>#N/A</v>
      </c>
      <c r="K340" s="88"/>
    </row>
    <row r="341" spans="1:11" s="1" customFormat="1" ht="30" customHeight="1" x14ac:dyDescent="0.25">
      <c r="A341" s="1">
        <v>340</v>
      </c>
      <c r="B341" s="176"/>
      <c r="C341" s="19" t="s">
        <v>506</v>
      </c>
      <c r="D341" s="19" t="s">
        <v>15</v>
      </c>
      <c r="E341" s="16" t="s">
        <v>16</v>
      </c>
      <c r="F341" s="19" t="s">
        <v>34</v>
      </c>
      <c r="G341" s="143" t="s">
        <v>593</v>
      </c>
      <c r="H341" s="19" t="s">
        <v>593</v>
      </c>
      <c r="I341" s="39">
        <v>45429</v>
      </c>
      <c r="J341" s="17" t="e">
        <v>#N/A</v>
      </c>
      <c r="K341" s="20"/>
    </row>
    <row r="342" spans="1:11" s="1" customFormat="1" ht="30" customHeight="1" x14ac:dyDescent="0.25">
      <c r="A342" s="1">
        <v>341</v>
      </c>
      <c r="B342" s="163"/>
      <c r="C342" s="81" t="s">
        <v>507</v>
      </c>
      <c r="D342" s="15" t="s">
        <v>15</v>
      </c>
      <c r="E342" s="16" t="s">
        <v>16</v>
      </c>
      <c r="F342" s="15" t="s">
        <v>34</v>
      </c>
      <c r="G342" s="15" t="s">
        <v>593</v>
      </c>
      <c r="H342" s="15" t="s">
        <v>593</v>
      </c>
      <c r="I342" s="39">
        <v>45151</v>
      </c>
      <c r="J342" s="17" t="e">
        <v>#N/A</v>
      </c>
      <c r="K342" s="11"/>
    </row>
    <row r="343" spans="1:11" s="1" customFormat="1" ht="30" customHeight="1" x14ac:dyDescent="0.25">
      <c r="A343" s="1">
        <v>342</v>
      </c>
      <c r="B343" s="23"/>
      <c r="C343" s="127" t="s">
        <v>508</v>
      </c>
      <c r="D343" s="47" t="s">
        <v>15</v>
      </c>
      <c r="E343" s="88" t="s">
        <v>16</v>
      </c>
      <c r="F343" s="47" t="s">
        <v>38</v>
      </c>
      <c r="G343" s="142" t="s">
        <v>594</v>
      </c>
      <c r="H343" s="47" t="s">
        <v>594</v>
      </c>
      <c r="I343" s="128">
        <v>46153</v>
      </c>
      <c r="J343" s="17" t="e">
        <v>#N/A</v>
      </c>
      <c r="K343" s="23"/>
    </row>
    <row r="344" spans="1:11" s="1" customFormat="1" ht="30" customHeight="1" x14ac:dyDescent="0.25">
      <c r="A344" s="1">
        <v>343</v>
      </c>
      <c r="B344" s="23"/>
      <c r="C344" s="20" t="s">
        <v>509</v>
      </c>
      <c r="D344" s="15" t="s">
        <v>15</v>
      </c>
      <c r="E344" s="16" t="s">
        <v>16</v>
      </c>
      <c r="F344" s="15" t="s">
        <v>367</v>
      </c>
      <c r="G344" s="15" t="s">
        <v>596</v>
      </c>
      <c r="H344" s="15" t="s">
        <v>596</v>
      </c>
      <c r="I344" s="22">
        <v>46128</v>
      </c>
      <c r="J344" s="17" t="e">
        <v>#N/A</v>
      </c>
      <c r="K344" s="23"/>
    </row>
    <row r="345" spans="1:11" s="1" customFormat="1" ht="30" customHeight="1" x14ac:dyDescent="0.25">
      <c r="A345" s="1">
        <v>344</v>
      </c>
      <c r="B345" s="112"/>
      <c r="C345" s="15" t="s">
        <v>511</v>
      </c>
      <c r="D345" s="19" t="s">
        <v>15</v>
      </c>
      <c r="E345" s="16" t="s">
        <v>16</v>
      </c>
      <c r="F345" s="15" t="s">
        <v>34</v>
      </c>
      <c r="G345" s="15" t="s">
        <v>593</v>
      </c>
      <c r="H345" s="15" t="s">
        <v>593</v>
      </c>
      <c r="I345" s="39">
        <v>45151</v>
      </c>
      <c r="J345" s="17" t="e">
        <v>#N/A</v>
      </c>
      <c r="K345" s="112"/>
    </row>
    <row r="346" spans="1:11" s="1" customFormat="1" ht="30" customHeight="1" x14ac:dyDescent="0.25">
      <c r="A346" s="1">
        <v>345</v>
      </c>
      <c r="B346" s="163"/>
      <c r="C346" s="15" t="s">
        <v>512</v>
      </c>
      <c r="D346" s="15" t="s">
        <v>15</v>
      </c>
      <c r="E346" s="31" t="s">
        <v>16</v>
      </c>
      <c r="F346" s="15" t="s">
        <v>34</v>
      </c>
      <c r="G346" s="15" t="s">
        <v>593</v>
      </c>
      <c r="H346" s="15" t="s">
        <v>593</v>
      </c>
      <c r="I346" s="39">
        <v>45151</v>
      </c>
      <c r="J346" s="17" t="e">
        <v>#N/A</v>
      </c>
      <c r="K346" s="11"/>
    </row>
    <row r="347" spans="1:11" s="1" customFormat="1" ht="30" customHeight="1" x14ac:dyDescent="0.25">
      <c r="A347" s="1">
        <v>346</v>
      </c>
      <c r="B347" s="163"/>
      <c r="C347" s="130" t="s">
        <v>513</v>
      </c>
      <c r="D347" s="15" t="s">
        <v>15</v>
      </c>
      <c r="E347" s="31" t="s">
        <v>16</v>
      </c>
      <c r="F347" s="15" t="s">
        <v>34</v>
      </c>
      <c r="G347" s="15" t="s">
        <v>593</v>
      </c>
      <c r="H347" s="15" t="s">
        <v>593</v>
      </c>
      <c r="I347" s="39">
        <v>46195</v>
      </c>
      <c r="J347" s="17" t="e">
        <v>#N/A</v>
      </c>
      <c r="K347" s="11"/>
    </row>
    <row r="348" spans="1:11" s="1" customFormat="1" ht="30" customHeight="1" x14ac:dyDescent="0.25">
      <c r="A348" s="1">
        <v>347</v>
      </c>
      <c r="B348" s="23"/>
      <c r="C348" s="20" t="s">
        <v>514</v>
      </c>
      <c r="D348" s="15" t="s">
        <v>15</v>
      </c>
      <c r="E348" s="16" t="s">
        <v>16</v>
      </c>
      <c r="F348" s="15" t="s">
        <v>34</v>
      </c>
      <c r="G348" s="15" t="s">
        <v>593</v>
      </c>
      <c r="H348" s="15" t="s">
        <v>593</v>
      </c>
      <c r="I348" s="22">
        <v>46114</v>
      </c>
      <c r="J348" s="17" t="e">
        <v>#N/A</v>
      </c>
      <c r="K348" s="23"/>
    </row>
    <row r="349" spans="1:11" s="1" customFormat="1" ht="30" customHeight="1" x14ac:dyDescent="0.25">
      <c r="A349" s="1">
        <v>348</v>
      </c>
      <c r="B349" s="45"/>
      <c r="C349" s="37" t="s">
        <v>516</v>
      </c>
      <c r="D349" s="47" t="s">
        <v>15</v>
      </c>
      <c r="E349" s="88" t="s">
        <v>16</v>
      </c>
      <c r="F349" s="37" t="s">
        <v>517</v>
      </c>
      <c r="G349" s="140" t="s">
        <v>597</v>
      </c>
      <c r="H349" s="37" t="s">
        <v>597</v>
      </c>
      <c r="I349" s="120">
        <v>45151</v>
      </c>
      <c r="J349" s="17" t="e">
        <v>#N/A</v>
      </c>
      <c r="K349" s="45"/>
    </row>
    <row r="350" spans="1:11" s="1" customFormat="1" ht="30" customHeight="1" x14ac:dyDescent="0.25">
      <c r="A350" s="1">
        <v>349</v>
      </c>
      <c r="B350" s="26"/>
      <c r="C350" s="19" t="s">
        <v>518</v>
      </c>
      <c r="D350" s="19" t="s">
        <v>15</v>
      </c>
      <c r="E350" s="16" t="s">
        <v>16</v>
      </c>
      <c r="F350" s="19" t="s">
        <v>367</v>
      </c>
      <c r="G350" s="143" t="s">
        <v>596</v>
      </c>
      <c r="H350" s="19" t="s">
        <v>596</v>
      </c>
      <c r="I350" s="39">
        <v>45418</v>
      </c>
      <c r="J350" s="17" t="e">
        <v>#N/A</v>
      </c>
      <c r="K350" s="26"/>
    </row>
    <row r="351" spans="1:11" s="1" customFormat="1" ht="30" customHeight="1" x14ac:dyDescent="0.25">
      <c r="A351" s="1">
        <v>350</v>
      </c>
      <c r="B351" s="163"/>
      <c r="C351" s="19" t="s">
        <v>519</v>
      </c>
      <c r="D351" s="47" t="s">
        <v>15</v>
      </c>
      <c r="E351" s="88" t="s">
        <v>16</v>
      </c>
      <c r="F351" s="47" t="s">
        <v>129</v>
      </c>
      <c r="G351" s="142" t="s">
        <v>111</v>
      </c>
      <c r="H351" s="47" t="s">
        <v>111</v>
      </c>
      <c r="I351" s="39">
        <v>45561</v>
      </c>
      <c r="J351" s="17" t="e">
        <v>#N/A</v>
      </c>
      <c r="K351" s="11"/>
    </row>
    <row r="352" spans="1:11" s="1" customFormat="1" ht="30" customHeight="1" x14ac:dyDescent="0.25">
      <c r="A352" s="1">
        <v>351</v>
      </c>
      <c r="B352" s="163"/>
      <c r="C352" s="20" t="s">
        <v>520</v>
      </c>
      <c r="D352" s="47" t="s">
        <v>15</v>
      </c>
      <c r="E352" s="88" t="s">
        <v>16</v>
      </c>
      <c r="F352" s="47" t="s">
        <v>129</v>
      </c>
      <c r="G352" s="142" t="s">
        <v>111</v>
      </c>
      <c r="H352" s="47" t="s">
        <v>111</v>
      </c>
      <c r="I352" s="22">
        <v>45757</v>
      </c>
      <c r="J352" s="17" t="e">
        <v>#N/A</v>
      </c>
      <c r="K352" s="11"/>
    </row>
    <row r="353" spans="1:11" s="1" customFormat="1" ht="30" customHeight="1" x14ac:dyDescent="0.25">
      <c r="A353" s="1">
        <v>352</v>
      </c>
      <c r="B353" s="163"/>
      <c r="C353" s="15" t="s">
        <v>522</v>
      </c>
      <c r="D353" s="19" t="s">
        <v>15</v>
      </c>
      <c r="E353" s="16" t="s">
        <v>16</v>
      </c>
      <c r="F353" s="15" t="s">
        <v>34</v>
      </c>
      <c r="G353" s="15" t="s">
        <v>593</v>
      </c>
      <c r="H353" s="15" t="s">
        <v>593</v>
      </c>
      <c r="I353" s="39">
        <v>45151</v>
      </c>
      <c r="J353" s="17" t="e">
        <v>#N/A</v>
      </c>
      <c r="K353" s="11"/>
    </row>
    <row r="354" spans="1:11" s="1" customFormat="1" ht="30" customHeight="1" x14ac:dyDescent="0.25">
      <c r="A354" s="1">
        <v>353</v>
      </c>
      <c r="B354" s="163"/>
      <c r="C354" s="19" t="s">
        <v>523</v>
      </c>
      <c r="D354" s="19" t="s">
        <v>15</v>
      </c>
      <c r="E354" s="16" t="s">
        <v>16</v>
      </c>
      <c r="F354" s="15" t="s">
        <v>34</v>
      </c>
      <c r="G354" s="15" t="s">
        <v>593</v>
      </c>
      <c r="H354" s="15" t="s">
        <v>593</v>
      </c>
      <c r="I354" s="39">
        <v>45151</v>
      </c>
      <c r="J354" s="17" t="e">
        <v>#N/A</v>
      </c>
      <c r="K354" s="11"/>
    </row>
    <row r="355" spans="1:11" s="1" customFormat="1" ht="30" customHeight="1" x14ac:dyDescent="0.25">
      <c r="A355" s="1">
        <v>354</v>
      </c>
      <c r="B355" s="163"/>
      <c r="C355" s="15" t="s">
        <v>524</v>
      </c>
      <c r="D355" s="19" t="s">
        <v>15</v>
      </c>
      <c r="E355" s="16" t="s">
        <v>16</v>
      </c>
      <c r="F355" s="15" t="s">
        <v>34</v>
      </c>
      <c r="G355" s="15" t="s">
        <v>593</v>
      </c>
      <c r="H355" s="15" t="s">
        <v>593</v>
      </c>
      <c r="I355" s="39">
        <v>45151</v>
      </c>
      <c r="J355" s="17" t="e">
        <v>#N/A</v>
      </c>
      <c r="K355" s="11"/>
    </row>
    <row r="356" spans="1:11" s="1" customFormat="1" ht="30" customHeight="1" x14ac:dyDescent="0.25">
      <c r="A356" s="1">
        <v>355</v>
      </c>
      <c r="B356" s="163"/>
      <c r="C356" s="113" t="s">
        <v>525</v>
      </c>
      <c r="D356" s="19" t="s">
        <v>15</v>
      </c>
      <c r="E356" s="16" t="s">
        <v>16</v>
      </c>
      <c r="F356" s="15" t="s">
        <v>34</v>
      </c>
      <c r="G356" s="15" t="s">
        <v>593</v>
      </c>
      <c r="H356" s="15" t="s">
        <v>593</v>
      </c>
      <c r="I356" s="25">
        <v>46183</v>
      </c>
      <c r="J356" s="17" t="e">
        <v>#N/A</v>
      </c>
      <c r="K356" s="11"/>
    </row>
    <row r="357" spans="1:11" s="1" customFormat="1" ht="30" customHeight="1" x14ac:dyDescent="0.25">
      <c r="A357" s="1">
        <v>356</v>
      </c>
      <c r="B357" s="23"/>
      <c r="C357" s="15" t="s">
        <v>528</v>
      </c>
      <c r="D357" s="19" t="s">
        <v>15</v>
      </c>
      <c r="E357" s="16" t="s">
        <v>16</v>
      </c>
      <c r="F357" s="15" t="s">
        <v>34</v>
      </c>
      <c r="G357" s="15" t="s">
        <v>593</v>
      </c>
      <c r="H357" s="15" t="s">
        <v>593</v>
      </c>
      <c r="I357" s="39">
        <v>45151</v>
      </c>
      <c r="J357" s="17" t="e">
        <v>#N/A</v>
      </c>
      <c r="K357" s="23"/>
    </row>
    <row r="358" spans="1:11" s="1" customFormat="1" ht="30" customHeight="1" x14ac:dyDescent="0.25">
      <c r="A358" s="1">
        <v>357</v>
      </c>
      <c r="B358" s="163"/>
      <c r="C358" s="15" t="s">
        <v>529</v>
      </c>
      <c r="D358" s="15" t="s">
        <v>15</v>
      </c>
      <c r="E358" s="16" t="s">
        <v>16</v>
      </c>
      <c r="F358" s="15" t="s">
        <v>34</v>
      </c>
      <c r="G358" s="15" t="s">
        <v>593</v>
      </c>
      <c r="H358" s="15" t="s">
        <v>593</v>
      </c>
      <c r="I358" s="39">
        <v>45151</v>
      </c>
      <c r="J358" s="17" t="e">
        <v>#N/A</v>
      </c>
      <c r="K358" s="11"/>
    </row>
    <row r="359" spans="1:11" s="1" customFormat="1" ht="30" customHeight="1" x14ac:dyDescent="0.25">
      <c r="A359" s="1">
        <v>358</v>
      </c>
      <c r="B359" s="23"/>
      <c r="C359" s="112"/>
      <c r="D359" s="43"/>
      <c r="E359" s="44"/>
      <c r="F359" s="43"/>
      <c r="G359" s="43"/>
      <c r="H359" s="43"/>
      <c r="I359" s="45"/>
      <c r="J359" s="17" t="e">
        <v>#N/A</v>
      </c>
      <c r="K359" s="23"/>
    </row>
    <row r="360" spans="1:11" s="1" customFormat="1" ht="30" customHeight="1" x14ac:dyDescent="0.25">
      <c r="A360" s="1">
        <v>359</v>
      </c>
      <c r="B360" s="163"/>
      <c r="C360" s="20" t="s">
        <v>530</v>
      </c>
      <c r="D360" s="15" t="s">
        <v>15</v>
      </c>
      <c r="E360" s="16" t="s">
        <v>16</v>
      </c>
      <c r="F360" s="15" t="s">
        <v>34</v>
      </c>
      <c r="G360" s="15" t="s">
        <v>593</v>
      </c>
      <c r="H360" s="15" t="s">
        <v>593</v>
      </c>
      <c r="I360" s="22">
        <v>46153</v>
      </c>
      <c r="J360" s="17" t="e">
        <v>#N/A</v>
      </c>
      <c r="K360" s="11"/>
    </row>
    <row r="361" spans="1:11" s="1" customFormat="1" ht="30" customHeight="1" x14ac:dyDescent="0.25">
      <c r="A361" s="1">
        <v>360</v>
      </c>
      <c r="B361" s="163"/>
      <c r="C361" s="19" t="s">
        <v>532</v>
      </c>
      <c r="D361" s="19" t="s">
        <v>15</v>
      </c>
      <c r="E361" s="16" t="s">
        <v>16</v>
      </c>
      <c r="F361" s="15" t="s">
        <v>34</v>
      </c>
      <c r="G361" s="15" t="s">
        <v>593</v>
      </c>
      <c r="H361" s="15" t="s">
        <v>593</v>
      </c>
      <c r="I361" s="114">
        <v>45151</v>
      </c>
      <c r="J361" s="17" t="e">
        <v>#N/A</v>
      </c>
      <c r="K361" s="11"/>
    </row>
    <row r="362" spans="1:11" s="1" customFormat="1" ht="30" customHeight="1" x14ac:dyDescent="0.25">
      <c r="A362" s="1">
        <v>361</v>
      </c>
      <c r="B362" s="23"/>
      <c r="C362" s="15" t="s">
        <v>533</v>
      </c>
      <c r="D362" s="19" t="s">
        <v>15</v>
      </c>
      <c r="E362" s="16" t="s">
        <v>16</v>
      </c>
      <c r="F362" s="81" t="s">
        <v>34</v>
      </c>
      <c r="G362" s="81" t="s">
        <v>593</v>
      </c>
      <c r="H362" s="81" t="s">
        <v>593</v>
      </c>
      <c r="I362" s="39">
        <v>45151</v>
      </c>
      <c r="J362" s="17" t="e">
        <v>#N/A</v>
      </c>
      <c r="K362" s="23"/>
    </row>
    <row r="363" spans="1:11" s="1" customFormat="1" ht="30" customHeight="1" x14ac:dyDescent="0.25">
      <c r="A363" s="1">
        <v>362</v>
      </c>
      <c r="B363" s="163"/>
      <c r="C363" s="28" t="s">
        <v>534</v>
      </c>
      <c r="D363" s="28" t="s">
        <v>15</v>
      </c>
      <c r="E363" s="21" t="s">
        <v>16</v>
      </c>
      <c r="F363" s="28" t="s">
        <v>34</v>
      </c>
      <c r="G363" s="138" t="s">
        <v>593</v>
      </c>
      <c r="H363" s="28" t="s">
        <v>593</v>
      </c>
      <c r="I363" s="26">
        <v>45722</v>
      </c>
      <c r="J363" s="17" t="e">
        <v>#N/A</v>
      </c>
      <c r="K363" s="11"/>
    </row>
    <row r="364" spans="1:11" s="1" customFormat="1" ht="30" customHeight="1" x14ac:dyDescent="0.25">
      <c r="A364" s="1">
        <v>363</v>
      </c>
      <c r="B364" s="111"/>
      <c r="C364" s="111"/>
      <c r="D364" s="47"/>
      <c r="E364" s="88"/>
      <c r="F364" s="47"/>
      <c r="G364" s="142"/>
      <c r="H364" s="47"/>
      <c r="I364" s="120"/>
      <c r="J364" s="17" t="e">
        <v>#N/A</v>
      </c>
      <c r="K364" s="111"/>
    </row>
    <row r="365" spans="1:11" s="1" customFormat="1" ht="30" customHeight="1" x14ac:dyDescent="0.25">
      <c r="A365" s="1">
        <v>364</v>
      </c>
      <c r="B365" s="163"/>
      <c r="C365" s="131" t="s">
        <v>536</v>
      </c>
      <c r="D365" s="19" t="s">
        <v>15</v>
      </c>
      <c r="E365" s="16" t="s">
        <v>16</v>
      </c>
      <c r="F365" s="81" t="s">
        <v>71</v>
      </c>
      <c r="G365" s="81"/>
      <c r="H365" s="81"/>
      <c r="I365" s="114">
        <v>45151</v>
      </c>
      <c r="J365" s="17" t="e">
        <v>#N/A</v>
      </c>
      <c r="K365" s="11"/>
    </row>
    <row r="366" spans="1:11" s="1" customFormat="1" ht="30" customHeight="1" x14ac:dyDescent="0.25">
      <c r="A366" s="1">
        <v>365</v>
      </c>
      <c r="B366" s="163"/>
      <c r="C366" s="15" t="s">
        <v>537</v>
      </c>
      <c r="D366" s="19" t="s">
        <v>15</v>
      </c>
      <c r="E366" s="16" t="s">
        <v>16</v>
      </c>
      <c r="F366" s="81" t="s">
        <v>71</v>
      </c>
      <c r="G366" s="81"/>
      <c r="H366" s="81"/>
      <c r="I366" s="114">
        <v>45151</v>
      </c>
      <c r="J366" s="17" t="e">
        <v>#N/A</v>
      </c>
      <c r="K366" s="11"/>
    </row>
    <row r="367" spans="1:11" s="1" customFormat="1" ht="30" customHeight="1" x14ac:dyDescent="0.25">
      <c r="A367" s="1">
        <v>366</v>
      </c>
      <c r="B367" s="163"/>
      <c r="C367" s="19" t="s">
        <v>538</v>
      </c>
      <c r="D367" s="19" t="s">
        <v>15</v>
      </c>
      <c r="E367" s="16" t="s">
        <v>16</v>
      </c>
      <c r="F367" s="19"/>
      <c r="G367" s="143"/>
      <c r="H367" s="19"/>
      <c r="I367" s="114">
        <v>45151</v>
      </c>
      <c r="J367" s="17" t="e">
        <v>#N/A</v>
      </c>
      <c r="K367" s="11"/>
    </row>
    <row r="368" spans="1:11" s="1" customFormat="1" ht="30" customHeight="1" x14ac:dyDescent="0.25">
      <c r="A368" s="1">
        <v>367</v>
      </c>
      <c r="B368" s="163"/>
      <c r="C368" s="132" t="s">
        <v>539</v>
      </c>
      <c r="D368" s="19" t="s">
        <v>15</v>
      </c>
      <c r="E368" s="16" t="s">
        <v>16</v>
      </c>
      <c r="F368" s="19" t="s">
        <v>161</v>
      </c>
      <c r="G368" s="143"/>
      <c r="H368" s="19"/>
      <c r="I368" s="66">
        <v>46204</v>
      </c>
      <c r="J368" s="17" t="e">
        <v>#N/A</v>
      </c>
      <c r="K368" s="11"/>
    </row>
    <row r="369" spans="1:11" s="1" customFormat="1" ht="30" customHeight="1" x14ac:dyDescent="0.25">
      <c r="A369" s="1">
        <v>368</v>
      </c>
      <c r="B369" s="163"/>
      <c r="C369" s="15" t="s">
        <v>541</v>
      </c>
      <c r="D369" s="19" t="s">
        <v>15</v>
      </c>
      <c r="E369" s="16" t="s">
        <v>16</v>
      </c>
      <c r="F369" s="15" t="s">
        <v>542</v>
      </c>
      <c r="G369" s="15"/>
      <c r="H369" s="15"/>
      <c r="I369" s="39">
        <v>45151</v>
      </c>
      <c r="J369" s="17" t="e">
        <v>#N/A</v>
      </c>
      <c r="K369" s="11"/>
    </row>
    <row r="370" spans="1:11" s="1" customFormat="1" ht="30" customHeight="1" x14ac:dyDescent="0.25">
      <c r="A370" s="1">
        <v>369</v>
      </c>
      <c r="B370" s="163"/>
      <c r="C370" s="15" t="s">
        <v>543</v>
      </c>
      <c r="D370" s="19" t="s">
        <v>15</v>
      </c>
      <c r="E370" s="16" t="s">
        <v>16</v>
      </c>
      <c r="F370" s="15" t="s">
        <v>542</v>
      </c>
      <c r="G370" s="15"/>
      <c r="H370" s="15"/>
      <c r="I370" s="39">
        <v>45151</v>
      </c>
      <c r="J370" s="17" t="e">
        <v>#N/A</v>
      </c>
      <c r="K370" s="11"/>
    </row>
    <row r="371" spans="1:11" s="1" customFormat="1" ht="30" customHeight="1" x14ac:dyDescent="0.25">
      <c r="A371" s="1">
        <v>370</v>
      </c>
      <c r="B371" s="163"/>
      <c r="C371" s="20" t="s">
        <v>544</v>
      </c>
      <c r="D371" s="19" t="s">
        <v>15</v>
      </c>
      <c r="E371" s="16" t="s">
        <v>16</v>
      </c>
      <c r="F371" s="15" t="s">
        <v>542</v>
      </c>
      <c r="G371" s="15"/>
      <c r="H371" s="15"/>
      <c r="I371" s="22">
        <v>46169</v>
      </c>
      <c r="J371" s="17" t="e">
        <v>#N/A</v>
      </c>
      <c r="K371" s="11"/>
    </row>
    <row r="372" spans="1:11" s="1" customFormat="1" ht="30" customHeight="1" x14ac:dyDescent="0.25">
      <c r="A372" s="1">
        <v>371</v>
      </c>
      <c r="B372" s="163"/>
      <c r="C372" s="111"/>
      <c r="D372" s="19"/>
      <c r="E372" s="16"/>
      <c r="F372" s="15"/>
      <c r="G372" s="15"/>
      <c r="H372" s="15"/>
      <c r="I372" s="39"/>
      <c r="J372" s="17" t="e">
        <v>#N/A</v>
      </c>
      <c r="K372" s="11"/>
    </row>
    <row r="373" spans="1:11" s="1" customFormat="1" ht="30" customHeight="1" x14ac:dyDescent="0.25">
      <c r="A373" s="1">
        <v>372</v>
      </c>
      <c r="B373" s="176"/>
      <c r="C373" s="20" t="s">
        <v>546</v>
      </c>
      <c r="D373" s="15" t="s">
        <v>15</v>
      </c>
      <c r="E373" s="16" t="s">
        <v>16</v>
      </c>
      <c r="F373" s="15" t="s">
        <v>129</v>
      </c>
      <c r="G373" s="15" t="s">
        <v>111</v>
      </c>
      <c r="H373" s="15" t="s">
        <v>111</v>
      </c>
      <c r="I373" s="22">
        <v>46083</v>
      </c>
      <c r="J373" s="17" t="e">
        <v>#N/A</v>
      </c>
      <c r="K373" s="20"/>
    </row>
    <row r="374" spans="1:11" s="1" customFormat="1" ht="30" customHeight="1" x14ac:dyDescent="0.25">
      <c r="A374" s="1">
        <v>373</v>
      </c>
      <c r="B374" s="176"/>
      <c r="C374" s="20" t="s">
        <v>547</v>
      </c>
      <c r="D374" s="15" t="s">
        <v>15</v>
      </c>
      <c r="E374" s="16" t="s">
        <v>16</v>
      </c>
      <c r="F374" s="15" t="s">
        <v>129</v>
      </c>
      <c r="G374" s="15" t="s">
        <v>111</v>
      </c>
      <c r="H374" s="15" t="s">
        <v>111</v>
      </c>
      <c r="I374" s="22">
        <v>46083</v>
      </c>
      <c r="J374" s="17" t="e">
        <v>#N/A</v>
      </c>
      <c r="K374" s="20"/>
    </row>
    <row r="375" spans="1:11" s="1" customFormat="1" ht="30" customHeight="1" x14ac:dyDescent="0.25">
      <c r="A375" s="1">
        <v>374</v>
      </c>
      <c r="B375" s="23"/>
      <c r="C375" s="11" t="s">
        <v>548</v>
      </c>
      <c r="D375" s="19" t="s">
        <v>15</v>
      </c>
      <c r="E375" s="16" t="s">
        <v>16</v>
      </c>
      <c r="F375" s="19" t="s">
        <v>129</v>
      </c>
      <c r="G375" s="143" t="s">
        <v>111</v>
      </c>
      <c r="H375" s="19" t="s">
        <v>111</v>
      </c>
      <c r="I375" s="26">
        <v>46104</v>
      </c>
      <c r="J375" s="17" t="e">
        <v>#N/A</v>
      </c>
      <c r="K375" s="23"/>
    </row>
    <row r="376" spans="1:11" s="1" customFormat="1" ht="30" customHeight="1" x14ac:dyDescent="0.25">
      <c r="A376" s="1">
        <v>375</v>
      </c>
      <c r="B376" s="23"/>
      <c r="C376" s="20" t="s">
        <v>549</v>
      </c>
      <c r="D376" s="19" t="s">
        <v>15</v>
      </c>
      <c r="E376" s="16" t="s">
        <v>16</v>
      </c>
      <c r="F376" s="19" t="s">
        <v>550</v>
      </c>
      <c r="G376" s="143" t="s">
        <v>361</v>
      </c>
      <c r="H376" s="19" t="s">
        <v>361</v>
      </c>
      <c r="I376" s="22">
        <v>46154</v>
      </c>
      <c r="J376" s="17" t="e">
        <v>#N/A</v>
      </c>
      <c r="K376" s="23"/>
    </row>
    <row r="377" spans="1:11" s="1" customFormat="1" ht="30" customHeight="1" x14ac:dyDescent="0.25">
      <c r="A377" s="1">
        <v>376</v>
      </c>
      <c r="B377" s="163"/>
      <c r="C377" s="133" t="s">
        <v>552</v>
      </c>
      <c r="D377" s="15" t="s">
        <v>15</v>
      </c>
      <c r="E377" s="31" t="s">
        <v>16</v>
      </c>
      <c r="F377" s="15" t="s">
        <v>367</v>
      </c>
      <c r="G377" s="15" t="s">
        <v>596</v>
      </c>
      <c r="H377" s="15" t="s">
        <v>596</v>
      </c>
      <c r="I377" s="66">
        <v>45343</v>
      </c>
      <c r="J377" s="17" t="e">
        <v>#N/A</v>
      </c>
      <c r="K377" s="11"/>
    </row>
    <row r="378" spans="1:11" s="1" customFormat="1" ht="30" customHeight="1" x14ac:dyDescent="0.25">
      <c r="A378" s="1">
        <v>377</v>
      </c>
      <c r="B378" s="163"/>
      <c r="C378" s="15" t="s">
        <v>553</v>
      </c>
      <c r="D378" s="19" t="s">
        <v>15</v>
      </c>
      <c r="E378" s="16" t="s">
        <v>16</v>
      </c>
      <c r="F378" s="19" t="s">
        <v>367</v>
      </c>
      <c r="G378" s="143" t="s">
        <v>596</v>
      </c>
      <c r="H378" s="19" t="s">
        <v>596</v>
      </c>
      <c r="I378" s="66">
        <v>45383</v>
      </c>
      <c r="J378" s="17" t="e">
        <v>#N/A</v>
      </c>
      <c r="K378" s="11"/>
    </row>
    <row r="379" spans="1:11" s="1" customFormat="1" ht="30" customHeight="1" x14ac:dyDescent="0.25">
      <c r="A379" s="1">
        <v>378</v>
      </c>
      <c r="B379" s="163"/>
      <c r="C379" s="11" t="s">
        <v>554</v>
      </c>
      <c r="D379" s="19" t="s">
        <v>15</v>
      </c>
      <c r="E379" s="16" t="s">
        <v>16</v>
      </c>
      <c r="F379" s="19" t="s">
        <v>129</v>
      </c>
      <c r="G379" s="143" t="s">
        <v>111</v>
      </c>
      <c r="H379" s="19" t="s">
        <v>111</v>
      </c>
      <c r="I379" s="26">
        <v>45735</v>
      </c>
      <c r="J379" s="17" t="e">
        <v>#N/A</v>
      </c>
      <c r="K379" s="11"/>
    </row>
    <row r="380" spans="1:11" s="1" customFormat="1" ht="30" customHeight="1" x14ac:dyDescent="0.25">
      <c r="A380" s="1">
        <v>379</v>
      </c>
      <c r="B380" s="112"/>
      <c r="C380" s="122" t="s">
        <v>555</v>
      </c>
      <c r="D380" s="15" t="s">
        <v>15</v>
      </c>
      <c r="E380" s="31" t="s">
        <v>16</v>
      </c>
      <c r="F380" s="15" t="s">
        <v>367</v>
      </c>
      <c r="G380" s="15" t="s">
        <v>596</v>
      </c>
      <c r="H380" s="15" t="s">
        <v>596</v>
      </c>
      <c r="I380" s="66">
        <v>45216</v>
      </c>
      <c r="J380" s="17" t="e">
        <v>#N/A</v>
      </c>
      <c r="K380" s="112"/>
    </row>
    <row r="381" spans="1:11" s="1" customFormat="1" ht="30" customHeight="1" x14ac:dyDescent="0.25">
      <c r="A381" s="1">
        <v>380</v>
      </c>
      <c r="B381" s="163"/>
      <c r="C381" s="15" t="s">
        <v>557</v>
      </c>
      <c r="D381" s="15" t="s">
        <v>15</v>
      </c>
      <c r="E381" s="31" t="s">
        <v>16</v>
      </c>
      <c r="F381" s="15" t="s">
        <v>22</v>
      </c>
      <c r="G381" s="15" t="s">
        <v>590</v>
      </c>
      <c r="H381" s="15" t="s">
        <v>590</v>
      </c>
      <c r="I381" s="66">
        <v>45423</v>
      </c>
      <c r="J381" s="17" t="e">
        <v>#N/A</v>
      </c>
      <c r="K381" s="11"/>
    </row>
    <row r="382" spans="1:11" s="1" customFormat="1" ht="30" customHeight="1" x14ac:dyDescent="0.25">
      <c r="A382" s="1">
        <v>381</v>
      </c>
      <c r="B382" s="23"/>
      <c r="C382" s="61" t="s">
        <v>558</v>
      </c>
      <c r="D382" s="15" t="s">
        <v>15</v>
      </c>
      <c r="E382" s="31" t="s">
        <v>16</v>
      </c>
      <c r="F382" s="15" t="s">
        <v>22</v>
      </c>
      <c r="G382" s="15" t="s">
        <v>590</v>
      </c>
      <c r="H382" s="15" t="s">
        <v>590</v>
      </c>
      <c r="I382" s="66">
        <v>45216</v>
      </c>
      <c r="J382" s="17" t="e">
        <v>#N/A</v>
      </c>
      <c r="K382" s="23"/>
    </row>
    <row r="383" spans="1:11" s="1" customFormat="1" ht="30" customHeight="1" x14ac:dyDescent="0.25">
      <c r="A383" s="1">
        <v>382</v>
      </c>
      <c r="B383" s="163"/>
      <c r="C383" s="113" t="s">
        <v>559</v>
      </c>
      <c r="D383" s="15" t="s">
        <v>15</v>
      </c>
      <c r="E383" s="31" t="s">
        <v>16</v>
      </c>
      <c r="F383" s="15" t="s">
        <v>38</v>
      </c>
      <c r="G383" s="15" t="s">
        <v>594</v>
      </c>
      <c r="H383" s="15" t="s">
        <v>594</v>
      </c>
      <c r="I383" s="66">
        <v>46195</v>
      </c>
      <c r="J383" s="17" t="e">
        <v>#N/A</v>
      </c>
      <c r="K383" s="11"/>
    </row>
    <row r="384" spans="1:11" s="1" customFormat="1" ht="30" customHeight="1" x14ac:dyDescent="0.25">
      <c r="A384" s="1">
        <v>383</v>
      </c>
      <c r="B384" s="23"/>
      <c r="C384" s="112"/>
      <c r="D384" s="43"/>
      <c r="E384" s="44"/>
      <c r="F384" s="43"/>
      <c r="G384" s="43"/>
      <c r="H384" s="43"/>
      <c r="I384" s="46"/>
      <c r="J384" s="17" t="e">
        <v>#N/A</v>
      </c>
      <c r="K384" s="23"/>
    </row>
    <row r="385" spans="1:11" s="1" customFormat="1" ht="30" customHeight="1" x14ac:dyDescent="0.25">
      <c r="A385" s="1">
        <v>384</v>
      </c>
      <c r="B385" s="23"/>
      <c r="C385" s="112"/>
      <c r="D385" s="43"/>
      <c r="E385" s="44"/>
      <c r="F385" s="43"/>
      <c r="G385" s="43"/>
      <c r="H385" s="43"/>
      <c r="I385" s="46"/>
      <c r="J385" s="17" t="e">
        <v>#N/A</v>
      </c>
      <c r="K385" s="23"/>
    </row>
    <row r="386" spans="1:11" s="1" customFormat="1" ht="30" customHeight="1" x14ac:dyDescent="0.25">
      <c r="A386" s="1">
        <v>385</v>
      </c>
      <c r="B386" s="23"/>
      <c r="C386" s="112" t="s">
        <v>561</v>
      </c>
      <c r="D386" s="43" t="s">
        <v>15</v>
      </c>
      <c r="E386" s="44" t="s">
        <v>16</v>
      </c>
      <c r="F386" s="43" t="s">
        <v>22</v>
      </c>
      <c r="G386" s="43" t="s">
        <v>590</v>
      </c>
      <c r="H386" s="43" t="s">
        <v>590</v>
      </c>
      <c r="I386" s="45">
        <v>46106</v>
      </c>
      <c r="J386" s="17" t="e">
        <v>#N/A</v>
      </c>
      <c r="K386" s="23"/>
    </row>
    <row r="387" spans="1:11" s="1" customFormat="1" ht="30" customHeight="1" x14ac:dyDescent="0.25">
      <c r="A387" s="1">
        <v>386</v>
      </c>
      <c r="B387" s="23"/>
      <c r="C387" s="80" t="s">
        <v>562</v>
      </c>
      <c r="D387" s="15" t="s">
        <v>15</v>
      </c>
      <c r="E387" s="31" t="s">
        <v>16</v>
      </c>
      <c r="F387" s="15" t="s">
        <v>22</v>
      </c>
      <c r="G387" s="15" t="s">
        <v>590</v>
      </c>
      <c r="H387" s="15" t="s">
        <v>590</v>
      </c>
      <c r="I387" s="32">
        <v>46204</v>
      </c>
      <c r="J387" s="17" t="e">
        <v>#N/A</v>
      </c>
      <c r="K387" s="23"/>
    </row>
    <row r="388" spans="1:11" s="1" customFormat="1" ht="30" customHeight="1" x14ac:dyDescent="0.25">
      <c r="A388" s="1">
        <v>387</v>
      </c>
      <c r="B388" s="163"/>
      <c r="C388" s="11" t="s">
        <v>563</v>
      </c>
      <c r="D388" s="19" t="s">
        <v>15</v>
      </c>
      <c r="E388" s="16" t="s">
        <v>16</v>
      </c>
      <c r="F388" s="19" t="s">
        <v>45</v>
      </c>
      <c r="G388" s="143" t="s">
        <v>595</v>
      </c>
      <c r="H388" s="19" t="s">
        <v>595</v>
      </c>
      <c r="I388" s="26">
        <v>45708</v>
      </c>
      <c r="J388" s="17" t="e">
        <v>#N/A</v>
      </c>
      <c r="K388" s="11"/>
    </row>
    <row r="389" spans="1:11" s="1" customFormat="1" ht="30" customHeight="1" x14ac:dyDescent="0.25">
      <c r="A389" s="1">
        <v>388</v>
      </c>
      <c r="B389" s="163"/>
      <c r="C389" s="23" t="s">
        <v>564</v>
      </c>
      <c r="D389" s="15" t="s">
        <v>15</v>
      </c>
      <c r="E389" s="31" t="s">
        <v>16</v>
      </c>
      <c r="F389" s="15" t="s">
        <v>22</v>
      </c>
      <c r="G389" s="15" t="s">
        <v>590</v>
      </c>
      <c r="H389" s="15" t="s">
        <v>590</v>
      </c>
      <c r="I389" s="22">
        <v>46106</v>
      </c>
      <c r="J389" s="17" t="e">
        <v>#N/A</v>
      </c>
      <c r="K389" s="11"/>
    </row>
    <row r="390" spans="1:11" s="1" customFormat="1" ht="30" customHeight="1" x14ac:dyDescent="0.25">
      <c r="A390" s="1">
        <v>389</v>
      </c>
      <c r="B390" s="112"/>
      <c r="C390" s="118" t="s">
        <v>566</v>
      </c>
      <c r="D390" s="37" t="s">
        <v>15</v>
      </c>
      <c r="E390" s="71" t="s">
        <v>16</v>
      </c>
      <c r="F390" s="37" t="s">
        <v>367</v>
      </c>
      <c r="G390" s="140" t="s">
        <v>596</v>
      </c>
      <c r="H390" s="37" t="s">
        <v>596</v>
      </c>
      <c r="I390" s="72">
        <v>45342</v>
      </c>
      <c r="J390" s="17" t="e">
        <v>#N/A</v>
      </c>
      <c r="K390" s="112"/>
    </row>
    <row r="391" spans="1:11" s="1" customFormat="1" ht="30" customHeight="1" x14ac:dyDescent="0.25">
      <c r="A391" s="1">
        <v>390</v>
      </c>
      <c r="B391" s="58"/>
      <c r="C391" s="11" t="s">
        <v>567</v>
      </c>
      <c r="D391" s="28" t="s">
        <v>15</v>
      </c>
      <c r="E391" s="21" t="s">
        <v>16</v>
      </c>
      <c r="F391" s="28" t="s">
        <v>129</v>
      </c>
      <c r="G391" s="138" t="s">
        <v>111</v>
      </c>
      <c r="H391" s="28" t="s">
        <v>111</v>
      </c>
      <c r="I391" s="22">
        <v>45744</v>
      </c>
      <c r="J391" s="17" t="e">
        <v>#N/A</v>
      </c>
      <c r="K391" s="58"/>
    </row>
    <row r="392" spans="1:11" s="1" customFormat="1" ht="30" customHeight="1" x14ac:dyDescent="0.25">
      <c r="A392" s="1">
        <v>391</v>
      </c>
      <c r="B392" s="23"/>
      <c r="C392" s="48" t="s">
        <v>568</v>
      </c>
      <c r="D392" s="28" t="s">
        <v>15</v>
      </c>
      <c r="E392" s="21" t="s">
        <v>16</v>
      </c>
      <c r="F392" s="28" t="s">
        <v>129</v>
      </c>
      <c r="G392" s="138" t="s">
        <v>111</v>
      </c>
      <c r="H392" s="28" t="s">
        <v>111</v>
      </c>
      <c r="I392" s="39">
        <v>46198</v>
      </c>
      <c r="J392" s="17" t="e">
        <v>#N/A</v>
      </c>
      <c r="K392" s="23"/>
    </row>
    <row r="393" spans="1:11" s="1" customFormat="1" ht="30" customHeight="1" x14ac:dyDescent="0.25">
      <c r="A393" s="1">
        <v>392</v>
      </c>
      <c r="B393" s="23"/>
      <c r="C393" s="29" t="s">
        <v>570</v>
      </c>
      <c r="D393" s="15" t="s">
        <v>15</v>
      </c>
      <c r="E393" s="31" t="s">
        <v>16</v>
      </c>
      <c r="F393" s="15" t="s">
        <v>17</v>
      </c>
      <c r="G393" s="15" t="s">
        <v>587</v>
      </c>
      <c r="H393" s="15" t="s">
        <v>587</v>
      </c>
      <c r="I393" s="39">
        <v>45941</v>
      </c>
      <c r="J393" s="17" t="e">
        <v>#N/A</v>
      </c>
      <c r="K393" s="23"/>
    </row>
    <row r="394" spans="1:11" s="1" customFormat="1" ht="30" customHeight="1" x14ac:dyDescent="0.25">
      <c r="A394" s="1">
        <v>393</v>
      </c>
      <c r="B394" s="163"/>
      <c r="C394" s="11" t="s">
        <v>572</v>
      </c>
      <c r="D394" s="28" t="s">
        <v>15</v>
      </c>
      <c r="E394" s="21" t="s">
        <v>16</v>
      </c>
      <c r="F394" s="28" t="s">
        <v>129</v>
      </c>
      <c r="G394" s="138" t="s">
        <v>111</v>
      </c>
      <c r="H394" s="28" t="s">
        <v>111</v>
      </c>
      <c r="I394" s="26">
        <v>45745</v>
      </c>
      <c r="J394" s="17" t="e">
        <v>#N/A</v>
      </c>
      <c r="K394" s="11"/>
    </row>
    <row r="395" spans="1:11" s="1" customFormat="1" ht="30" customHeight="1" x14ac:dyDescent="0.25">
      <c r="A395" s="1">
        <v>394</v>
      </c>
      <c r="B395" s="23"/>
      <c r="C395" s="61" t="s">
        <v>573</v>
      </c>
      <c r="D395" s="15" t="s">
        <v>15</v>
      </c>
      <c r="E395" s="31" t="s">
        <v>16</v>
      </c>
      <c r="F395" s="15" t="s">
        <v>129</v>
      </c>
      <c r="G395" s="15" t="s">
        <v>111</v>
      </c>
      <c r="H395" s="15" t="s">
        <v>111</v>
      </c>
      <c r="I395" s="39">
        <v>45478</v>
      </c>
      <c r="J395" s="17" t="e">
        <v>#N/A</v>
      </c>
      <c r="K395" s="23"/>
    </row>
    <row r="396" spans="1:11" s="1" customFormat="1" ht="30" customHeight="1" x14ac:dyDescent="0.25">
      <c r="A396" s="1">
        <v>395</v>
      </c>
      <c r="B396" s="163"/>
      <c r="C396" s="20" t="s">
        <v>574</v>
      </c>
      <c r="D396" s="19" t="s">
        <v>15</v>
      </c>
      <c r="E396" s="16" t="s">
        <v>16</v>
      </c>
      <c r="F396" s="19" t="s">
        <v>17</v>
      </c>
      <c r="G396" s="143" t="s">
        <v>587</v>
      </c>
      <c r="H396" s="19" t="s">
        <v>587</v>
      </c>
      <c r="I396" s="22">
        <v>46086</v>
      </c>
      <c r="J396" s="17" t="e">
        <v>#N/A</v>
      </c>
      <c r="K396" s="11"/>
    </row>
    <row r="397" spans="1:11" s="1" customFormat="1" ht="30" customHeight="1" x14ac:dyDescent="0.25">
      <c r="A397" s="1">
        <v>396</v>
      </c>
      <c r="B397" s="23"/>
      <c r="C397" s="11" t="s">
        <v>575</v>
      </c>
      <c r="D397" s="15" t="s">
        <v>15</v>
      </c>
      <c r="E397" s="16" t="s">
        <v>16</v>
      </c>
      <c r="F397" s="15" t="s">
        <v>129</v>
      </c>
      <c r="G397" s="15" t="s">
        <v>111</v>
      </c>
      <c r="H397" s="15" t="s">
        <v>111</v>
      </c>
      <c r="I397" s="26">
        <v>45908</v>
      </c>
      <c r="J397" s="17" t="e">
        <v>#N/A</v>
      </c>
      <c r="K397" s="23"/>
    </row>
    <row r="398" spans="1:11" s="1" customFormat="1" ht="30" customHeight="1" x14ac:dyDescent="0.25">
      <c r="A398" s="1">
        <v>397</v>
      </c>
      <c r="B398" s="163"/>
      <c r="C398" s="61" t="s">
        <v>577</v>
      </c>
      <c r="D398" s="15" t="s">
        <v>15</v>
      </c>
      <c r="E398" s="31" t="s">
        <v>16</v>
      </c>
      <c r="F398" s="15" t="s">
        <v>129</v>
      </c>
      <c r="G398" s="15" t="s">
        <v>111</v>
      </c>
      <c r="H398" s="15" t="s">
        <v>111</v>
      </c>
      <c r="I398" s="39">
        <v>45530</v>
      </c>
      <c r="J398" s="17" t="e">
        <v>#N/A</v>
      </c>
      <c r="K398" s="11"/>
    </row>
    <row r="399" spans="1:11" s="1" customFormat="1" ht="30" customHeight="1" x14ac:dyDescent="0.25">
      <c r="A399" s="1">
        <v>398</v>
      </c>
      <c r="B399" s="23"/>
      <c r="C399" s="11" t="s">
        <v>578</v>
      </c>
      <c r="D399" s="15" t="s">
        <v>15</v>
      </c>
      <c r="E399" s="16" t="s">
        <v>16</v>
      </c>
      <c r="F399" s="15" t="s">
        <v>129</v>
      </c>
      <c r="G399" s="15" t="s">
        <v>111</v>
      </c>
      <c r="H399" s="15" t="s">
        <v>111</v>
      </c>
      <c r="I399" s="26">
        <v>45589</v>
      </c>
      <c r="J399" s="17" t="e">
        <v>#N/A</v>
      </c>
      <c r="K399" s="23"/>
    </row>
    <row r="400" spans="1:11" s="1" customFormat="1" ht="30" customHeight="1" x14ac:dyDescent="0.25">
      <c r="A400" s="1">
        <v>399</v>
      </c>
      <c r="B400" s="29"/>
      <c r="C400" s="29" t="s">
        <v>579</v>
      </c>
      <c r="D400" s="19" t="s">
        <v>15</v>
      </c>
      <c r="E400" s="16" t="s">
        <v>16</v>
      </c>
      <c r="F400" s="19" t="s">
        <v>129</v>
      </c>
      <c r="G400" s="143" t="s">
        <v>111</v>
      </c>
      <c r="H400" s="19" t="s">
        <v>111</v>
      </c>
      <c r="I400" s="39">
        <v>45939</v>
      </c>
      <c r="J400" s="17" t="e">
        <v>#N/A</v>
      </c>
      <c r="K400" s="29"/>
    </row>
    <row r="401" spans="1:11" s="1" customFormat="1" ht="30" customHeight="1" x14ac:dyDescent="0.25">
      <c r="A401" s="1">
        <v>400</v>
      </c>
      <c r="B401" s="23"/>
      <c r="C401" s="20"/>
      <c r="D401" s="19"/>
      <c r="E401" s="16"/>
      <c r="F401" s="19"/>
      <c r="G401" s="143"/>
      <c r="H401" s="19"/>
      <c r="I401" s="22"/>
      <c r="J401" s="17" t="e">
        <v>#N/A</v>
      </c>
      <c r="K401" s="23"/>
    </row>
    <row r="402" spans="1:11" s="1" customFormat="1" ht="30" customHeight="1" x14ac:dyDescent="0.25">
      <c r="A402" s="1">
        <v>401</v>
      </c>
      <c r="B402" s="23"/>
      <c r="C402" s="20" t="s">
        <v>581</v>
      </c>
      <c r="D402" s="19" t="s">
        <v>15</v>
      </c>
      <c r="E402" s="16" t="s">
        <v>16</v>
      </c>
      <c r="F402" s="19" t="s">
        <v>367</v>
      </c>
      <c r="G402" s="143" t="s">
        <v>596</v>
      </c>
      <c r="H402" s="19" t="s">
        <v>596</v>
      </c>
      <c r="I402" s="22">
        <v>46087</v>
      </c>
      <c r="J402" s="17" t="e">
        <v>#N/A</v>
      </c>
      <c r="K402" s="23"/>
    </row>
    <row r="403" spans="1:11" s="1" customFormat="1" ht="30" customHeight="1" x14ac:dyDescent="0.25">
      <c r="A403" s="1">
        <v>402</v>
      </c>
      <c r="B403" s="163"/>
      <c r="C403" s="134" t="s">
        <v>582</v>
      </c>
      <c r="D403" s="67" t="s">
        <v>15</v>
      </c>
      <c r="E403" s="16" t="s">
        <v>16</v>
      </c>
      <c r="F403" s="67" t="s">
        <v>367</v>
      </c>
      <c r="G403" s="67" t="s">
        <v>596</v>
      </c>
      <c r="H403" s="67" t="s">
        <v>596</v>
      </c>
      <c r="I403" s="26">
        <v>45411</v>
      </c>
      <c r="J403" s="17" t="e">
        <v>#N/A</v>
      </c>
      <c r="K403" s="11"/>
    </row>
    <row r="404" spans="1:11" s="1" customFormat="1" ht="30" customHeight="1" x14ac:dyDescent="0.25">
      <c r="A404" s="1">
        <v>403</v>
      </c>
      <c r="B404" s="163"/>
      <c r="C404" s="135" t="s">
        <v>583</v>
      </c>
      <c r="D404" s="67" t="s">
        <v>15</v>
      </c>
      <c r="E404" s="16" t="s">
        <v>16</v>
      </c>
      <c r="F404" s="67" t="s">
        <v>367</v>
      </c>
      <c r="G404" s="67" t="s">
        <v>596</v>
      </c>
      <c r="H404" s="67" t="s">
        <v>596</v>
      </c>
      <c r="I404" s="26">
        <v>45411</v>
      </c>
      <c r="J404" s="17" t="e">
        <v>#N/A</v>
      </c>
      <c r="K404" s="11"/>
    </row>
    <row r="405" spans="1:11" s="1" customFormat="1" ht="30" customHeight="1" x14ac:dyDescent="0.25">
      <c r="A405" s="1">
        <v>404</v>
      </c>
      <c r="B405" s="163"/>
      <c r="C405" s="135" t="s">
        <v>584</v>
      </c>
      <c r="D405" s="68" t="s">
        <v>15</v>
      </c>
      <c r="E405" s="16" t="s">
        <v>16</v>
      </c>
      <c r="F405" s="68" t="s">
        <v>367</v>
      </c>
      <c r="G405" s="68" t="s">
        <v>596</v>
      </c>
      <c r="H405" s="68" t="s">
        <v>596</v>
      </c>
      <c r="I405" s="26">
        <v>45702</v>
      </c>
      <c r="J405" s="17" t="e">
        <v>#N/A</v>
      </c>
      <c r="K405" s="11"/>
    </row>
  </sheetData>
  <autoFilter ref="C1:K405" xr:uid="{00000000-0009-0000-0000-000000000000}"/>
  <phoneticPr fontId="19" type="noConversion"/>
  <conditionalFormatting sqref="C2:C3">
    <cfRule type="duplicateValues" dxfId="938" priority="263"/>
    <cfRule type="duplicateValues" dxfId="937" priority="264"/>
  </conditionalFormatting>
  <conditionalFormatting sqref="C2:C7 C10:C15 C18:C28 C33:C35">
    <cfRule type="duplicateValues" dxfId="936" priority="183"/>
  </conditionalFormatting>
  <conditionalFormatting sqref="C5">
    <cfRule type="duplicateValues" dxfId="935" priority="201"/>
  </conditionalFormatting>
  <conditionalFormatting sqref="C6">
    <cfRule type="duplicateValues" dxfId="934" priority="258"/>
    <cfRule type="duplicateValues" dxfId="933" priority="259"/>
    <cfRule type="duplicateValues" dxfId="932" priority="260"/>
  </conditionalFormatting>
  <conditionalFormatting sqref="C6:C7 C1:C3 C10:C15 C18:C28 C32:C35 C37:C39 C42:C43 C50 C53 C55:C58 C62 C64:C74 C78 C80:C87 C89:C92 C94:C98 C100:C117 C119:C129 C131 C135:C136 C138 C140:C141 C144:C145 C148 C150:C164 C167:C169 C172:C179 C182:C188 C190:C196 C198:C202 C204:C207 C209:C213 C215:C221 C223:C229 C232:C233 C235:C236 C241:C244 C249 C251:C252 C278:C279 C282:C287 C289:C290 C293:C296 C298:C299 C305:C312 C317:C319 C321:C324 C364:C367 C372 C384 C394:C395 C398:C399 C403:C1048576">
    <cfRule type="duplicateValues" dxfId="931" priority="215"/>
  </conditionalFormatting>
  <conditionalFormatting sqref="C6:C7 C1:C3 C10:C15 C18:C28 C32:C35 C37:C39 C42:C43 C50 C53 C55:C58 C62 C64:C74 C78 C80:C87 C89:C92 C94:C117 C119:C129 C131 C135:C136 C138 C140:C141 C144:C145 C148 C150:C164 C167:C169 C172:C179 C182:C188 C190:C196 C198:C202 C204:C207 C209:C213 C215:C221 C223:C229 C232:C233 C235:C236 C241:C244 C249 C251:C252 C278:C279 C282:C287 C289:C290 C293:C296 C298:C299 C305:C312 C317:C319 C321:C324 C364:C367 C372 C384 C394:C395 C398:C399 C403:C1048576">
    <cfRule type="duplicateValues" dxfId="930" priority="214"/>
  </conditionalFormatting>
  <conditionalFormatting sqref="C6:C7 C1:C3 C10:C15 C18:C28 C32:C35 C37:C39 C42:C43 C50 C53 C55:C58 C62 C64:C74 C78 C80:C87 C89:C92 C94:C117 C119:C129 C131 C135:C138 C140:C141 C144:C148 C150:C164 C167:C169 C171:C179 C182:C207 C209:C213 C215:C221 C223:C229 C231:C233 C235:C236 C241:C244 C249:C252 C278:C279 C282:C287 C289:C290 C293:C296 C298:C299 C305:C312 C317:C319 C321:C324 C364:C367 C372 C384 C394:C395 C398:C399 C403:C1048576">
    <cfRule type="duplicateValues" dxfId="929" priority="204"/>
  </conditionalFormatting>
  <conditionalFormatting sqref="C6:C7 C1:C3 C10:C15 C18:C28 C32:C35 C37:C39 C42:C43 C50 C53 C55:C58 C62 C64:C74 C78 C80:C87 C89:C92 C94:C117 C119:C129 C131 C135:C138 C140:C141 C144:C148 C150:C164 C167:C169 C172:C179 C182:C188 C190:C196 C198:C202 C204:C207 C209:C213 C215:C221 C223:C229 C232:C233 C235:C236 C241:C244 C249 C251:C252 C278:C279 C282:C287 C289:C290 C293:C296 C298:C299 C305:C312 C317:C319 C321:C324 C364:C367 C372 C384 C394:C395 C398:C399 C403:C1048576">
    <cfRule type="duplicateValues" dxfId="928" priority="211"/>
  </conditionalFormatting>
  <conditionalFormatting sqref="C6:C7 C1:C3 C10:C15 C18:C28 C32:C35 C37:C39 C42:C43 C50 C53 C55:C58 C62 C64:C74 C78 C80:C87 C89:C117 C119:C129 C131 C135:C138 C140:C141 C144:C148 C150:C164 C167:C169 C171:C179 C182:C207 C209:C213 C215:C221 C223:C229 C231:C233 C235:C236 C241:C244 C249:C252 C278:C279 C282:C287 C289:C290 C293:C296 C298:C299 C305:C312 C317:C319 C321:C324 C364:C367 C372 C384 C394:C395 C398:C399 C403:C1048576">
    <cfRule type="duplicateValues" dxfId="927" priority="202"/>
  </conditionalFormatting>
  <conditionalFormatting sqref="C6:C7 C1:C3 C10:C15 C18:C28 C32:C35 C37:C39 C42:C43 C50 C53 C55:C58 C64:C74 C78 C80:C85 C87 C89 C91:C92 C94:C98 C100:C102 C104:C117 C119:C129 C131 C136 C138 C140:C141 C144:C145 C148 C150:C156 C159:C164 C167 C169 C172:C179 C182:C188 C190:C196 C198:C202 C205:C207 C209:C211 C213 C215:C221 C223:C229 C232:C233 C235:C236 C241:C244 C249 C251:C252 C278:C279 C283:C287 C289 C293:C296 C298:C299 C305:C312 C317:C319 C321:C324 C364:C367 C372 C384 C399 C403:C1048576">
    <cfRule type="duplicateValues" dxfId="926" priority="236"/>
  </conditionalFormatting>
  <conditionalFormatting sqref="C6:C7 C1:C3 C10:C15 C18:C28 C32:C35 C37:C39 C42:C43 C50 C53 C55:C58 C64:C74 C78 C80:C85 C87 C89:C92 C94:C98 C100:C117 C119:C129 C131 C136 C138 C140:C141 C144:C145 C148 C150:C156 C158:C164 C167 C169 C172:C179 C182:C188 C190:C196 C198:C202 C205:C207 C209:C213 C215:C221 C223:C229 C232:C233 C235:C236 C241:C244 C249 C251:C252 C278:C279 C282:C287 C289 C293:C296 C298:C299 C305:C312 C317:C319 C321:C324 C364:C367 C372 C384 C399 C403:C1048576">
    <cfRule type="duplicateValues" dxfId="925" priority="230"/>
  </conditionalFormatting>
  <conditionalFormatting sqref="C6:C7 C1:C3 C10:C15 C18:C28 C32:C35 C37:C39 C42:C43 C50 C53 C55:C58 C64:C74 C78 C80:C85 C87 C89:C92 C94:C98 C100:C117 C119:C129 C131 C136 C138 C140:C141 C144:C145 C148 C150:C156 C158:C164 C167 C169 C172:C179 C182:C188 C190:C196 C198:C202 C205:C207 C209:C213 C215:C221 C223:C229 C232:C233 C235:C236 C241:C244 C249 C251:C252 C278:C279 C282:C287 C289:C290 C293:C296 C298:C299 C305:C312 C317:C319 C321:C324 C364:C367 C372 C384 C399 C403:C1048576">
    <cfRule type="duplicateValues" dxfId="924" priority="228"/>
  </conditionalFormatting>
  <conditionalFormatting sqref="C6:C7 C1:C3 C10:C15 C18:C28 C32:C35 C37:C39 C42:C43 C50 C53 C55:C58 C64:C74 C78 C80:C87 C89:C92 C94:C98 C100:C117 C119:C129 C131 C135:C136 C138 C140:C141 C144:C145 C148 C150:C156 C158:C164 C167 C169 C172:C179 C182:C188 C190:C196 C198:C202 C204:C207 C209:C213 C215:C221 C223:C229 C232:C233 C235:C236 C241:C244 C249 C251:C252 C278:C279 C282:C287 C289:C290 C293:C296 C298:C299 C305:C312 C317:C319 C321:C324 C364:C367 C372 C384 C399 C403:C1048576">
    <cfRule type="duplicateValues" dxfId="923" priority="223"/>
  </conditionalFormatting>
  <conditionalFormatting sqref="C6:C7 C1:C3 C10:C15 C18:C28 C32:C35 C38:C39 C42:C43 C50 C53 C55:C56 C64:C74 C78 C80:C85 C87 C89 C91:C92 C94:C98 C100:C102 C104:C117 C119:C129 C131 C136 C138 C140:C141 C144:C145 C148 C150:C156 C159:C164 C167 C169 C172:C179 C182:C188 C190:C196 C198:C202 C205:C207 C209:C211 C213 C215:C221 C223:C229 C232:C233 C235:C236 C241:C244 C249 C251:C252 C278:C279 C283:C287 C289 C293:C296 C298:C299 C305:C312 C317:C319 C321:C322 C324 C364:C367 C372 C384 C399 C403:C1048576">
    <cfRule type="duplicateValues" dxfId="922" priority="240"/>
  </conditionalFormatting>
  <conditionalFormatting sqref="C6:C7 C1:C3 C10:C15 C18:C28 C32:C35 C38:C39 C42:C43 C50 C53 C55:C56 C64:C74 C78 C80:C85 C87 C89 C91:C92 C94:C98 C100:C102 C104:C117 C119:C129 C131 C136 C138 C140:C141 C144:C145 C148 C150:C156 C159:C164 C167 C169 C172:C179 C182:C188 C190:C196 C198:C202 C205:C207 C209:C211 C213 C215:C221 C223:C229 C232:C233 C235:C236 C241:C244 C249 C252 C278:C279 C283 C285:C287 C289 C293:C296 C298:C299 C305:C310 C321:C322 C324 C364:C367 C372 C384 C399 C403:C1048576">
    <cfRule type="duplicateValues" dxfId="921" priority="248"/>
  </conditionalFormatting>
  <conditionalFormatting sqref="C6:C7 C1:C3 C10:C15 C18:C28 C32:C35 C38:C39 C42:C43 C50 C53 C55:C58 C64:C74 C78 C80:C85 C87 C89 C91:C92 C94:C98 C100:C102 C104:C117 C119:C129 C131 C136 C138 C140:C141 C144:C145 C148 C150:C156 C159:C164 C167 C169 C172:C179 C182:C188 C190:C196 C198:C202 C205:C207 C209:C211 C213 C215:C221 C223:C229 C232:C233 C235:C236 C241:C244 C249 C251:C252 C278:C279 C283:C287 C289 C293:C296 C298:C299 C305:C312 C317:C319 C321:C324 C364:C367 C372 C384 C399 C403:C1048576">
    <cfRule type="duplicateValues" dxfId="920" priority="237"/>
  </conditionalFormatting>
  <conditionalFormatting sqref="C7">
    <cfRule type="duplicateValues" dxfId="919" priority="257"/>
  </conditionalFormatting>
  <conditionalFormatting sqref="C8">
    <cfRule type="duplicateValues" dxfId="918" priority="80"/>
    <cfRule type="duplicateValues" dxfId="917" priority="81"/>
  </conditionalFormatting>
  <conditionalFormatting sqref="C9">
    <cfRule type="duplicateValues" dxfId="916" priority="78"/>
    <cfRule type="duplicateValues" dxfId="915" priority="79"/>
  </conditionalFormatting>
  <conditionalFormatting sqref="C10:C11">
    <cfRule type="duplicateValues" dxfId="914" priority="297"/>
  </conditionalFormatting>
  <conditionalFormatting sqref="C10:C15 C1 C18:C28 C32:C35 C39 C42:C43 C50 C53 C55:C56 C64:C74 C78 C80:C85 C87 C89 C91:C92 C94:C98 C100:C102 C104:C116 C119:C127 C131 C140:C141 C144:C145 C148 C150:C156 C159:C164 C167 C169 C172:C176 C178:C179 C182 C184:C188 C190:C196 C198:C201 C205:C206 C209:C211 C213 C215:C220 C223:C224 C226:C229 C232:C233 C235:C236 C249 C252 C278:C279 C283 C285:C287 C289 C293:C296 C298:C299 C305:C310 C321 C324 C365:C367 C372 C403:C1048576">
    <cfRule type="duplicateValues" dxfId="913" priority="287"/>
  </conditionalFormatting>
  <conditionalFormatting sqref="C10:C15 C1 C18:C28 C32:C35 C39 C42:C43 C50 C53 C55:C56 C64:C74 C78 C80:C85 C87 C89 C91:C92 C94:C98 C100:C102 C104:C116 C119:C127 C131 C140:C141 C144:C145 C148 C150:C156 C159:C164 C167 C169 C172:C179 C182:C188 C190:C196 C198:C201 C205:C206 C209:C211 C213 C215:C220 C223:C224 C226:C229 C232:C233 C235:C236 C249 C252 C278:C279 C283 C285:C287 C289 C293:C296 C298:C299 C305:C310 C321 C324 C365:C367 C372 C403:C1048576">
    <cfRule type="duplicateValues" dxfId="912" priority="283"/>
  </conditionalFormatting>
  <conditionalFormatting sqref="C10:C15 C1 C18:C28 C32:C35 C39 C42:C43 C50 C53 C55:C56 C64:C74 C78 C80:C85 C87 C89 C91:C92 C94:C98 C100:C102 C104:C116 C119:C127 C131 C140:C141 C144:C145 C148 C150:C156 C159:C164 C167 C169 C172:C179 C182:C188 C190:C196 C198:C202 C205:C207 C209:C211 C213 C215:C220 C223:C224 C226:C229 C232:C233 C235:C236 C249 C252 C278:C279 C283 C285:C287 C289 C293:C296 C298:C299 C305:C310 C321 C324 C365:C367 C372 C403:C1048576">
    <cfRule type="duplicateValues" dxfId="911" priority="280"/>
  </conditionalFormatting>
  <conditionalFormatting sqref="C10:C15 C1:C7 C18:C28 C30:C35 C37:C39 C42:C43 C50 C53 C55:C58 C62 C64:C74 C77:C78 C80:C87 C89:C117 C119:C129 C131 C135:C138 C140:C141 C144:C148 C150:C164 C166:C169 C171:C179 C181:C207 C209:C236 C241:C244 C249:C252 C277:C279 C282:C287 C289:C290 C292:C296 C298:C299 C305:C312 C317:C324 C364:C367 C372 C384:C385 C394:C395 C398:C400 C402:C1048576">
    <cfRule type="duplicateValues" dxfId="910" priority="165"/>
  </conditionalFormatting>
  <conditionalFormatting sqref="C10:C15 C1:C7 C18:C28 C30:C35 C37:C39 C42:C43 C50 C53 C55:C58 C62 C64:C74 C77:C78 C80:C87 C89:C117 C119:C131 C135:C138 C140:C141 C144:C148 C150:C164 C166:C169 C171:C179 C181:C207 C209:C236 C241:C244 C249:C252 C272 C276:C296 C298:C299 C305:C312 C317:C324 C364:C367 C372 C384:C385 C394:C395 C398:C400 C402:C1048576">
    <cfRule type="duplicateValues" dxfId="909" priority="153"/>
  </conditionalFormatting>
  <conditionalFormatting sqref="C10:C15 C1:C7 C18:C28 C30:C35 C37:C39 C42:C43 C50 C53 C55:C58 C62 C64:C74 C77:C78 C80:C87 C89:C117 C119:C131 C135:C138 C140:C141 C144:C148 C150:C164 C166:C169 C171:C179 C181:C207 C209:C236 C241:C244 C249:C252 C272 C276:C296 C298:C299 C305:C312 C317:C324 C364:C367 C372 C384:C385 C394:C1048576">
    <cfRule type="duplicateValues" dxfId="908" priority="151"/>
  </conditionalFormatting>
  <conditionalFormatting sqref="C10:C15 C1:C7 C18:C28 C30:C35 C37:C39 C42:C43 C50 C53 C55:C58 C62 C64:C74 C77:C78 C80:C87 C89:C117 C119:C131 C135:C138 C140:C141 C144:C148 C150:C164 C166:C169 C171:C179 C181:C207 C209:C236 C241:C244 C249:C252 C277:C279 C282:C287 C289:C290 C292:C296 C298:C299 C305:C312 C317:C324 C364:C367 C372 C384:C385 C394:C395 C398:C400 C402:C1048576">
    <cfRule type="duplicateValues" dxfId="907" priority="163"/>
  </conditionalFormatting>
  <conditionalFormatting sqref="C10:C15 C1:C7 C18:C28 C30:C35 C37:C39 C42:C43 C50 C53 C55:C58 C62 C64:C74 C78 C80:C87 C89:C117 C119:C129 C131 C135:C138 C140:C141 C144:C148 C150:C164 C166:C169 C171:C179 C181:C207 C209:C229 C231:C236 C241:C244 C249:C252 C277:C279 C282:C287 C289:C290 C292:C296 C298:C299 C305:C312 C317:C324 C364:C367 C372 C384:C385 C394:C395 C398:C400 C402:C1048576">
    <cfRule type="duplicateValues" dxfId="906" priority="168"/>
  </conditionalFormatting>
  <conditionalFormatting sqref="C10:C15 C1:C7 C18:C28 C30:C35 C37:C39 C42:C43 C50 C53 C55:C58 C62 C64:C74 C78 C80:C87 C89:C117 C119:C129 C131 C135:C138 C140:C141 C144:C148 C150:C164 C166:C169 C171:C179 C181:C207 C209:C236 C241:C244 C249:C252 C277:C279 C282:C287 C289:C290 C292:C296 C298:C299 C305:C312 C317:C324 C364:C367 C372 C384:C385 C394:C395 C398:C400 C402:C1048576">
    <cfRule type="duplicateValues" dxfId="905" priority="166"/>
  </conditionalFormatting>
  <conditionalFormatting sqref="C10:C15 C1:C7 C18:C28 C30:C35 C37:C39 C42:C43 C50 C53 C55:C58 C62 C64:C74 C78 C80:C87 C89:C117 C119:C129 C131 C135:C138 C140:C141 C144:C148 C150:C164 C167:C169 C171:C179 C181:C207 C209:C229 C231:C236 C241:C244 C249:C252 C277:C279 C282:C287 C289:C290 C292:C296 C298:C299 C305:C312 C317:C324 C364:C367 C372 C384:C385 C394:C395 C398:C400 C402:C1048576">
    <cfRule type="duplicateValues" dxfId="904" priority="169"/>
  </conditionalFormatting>
  <conditionalFormatting sqref="C10:C15 C1:C7 C18:C28 C32:C35 C37:C39 C42:C43 C50 C53 C55:C58 C62 C64:C74 C78 C80:C87 C89:C117 C119:C129 C131 C135:C138 C140:C141 C144:C148 C150:C164 C167:C169 C171:C179 C181:C207 C209:C213 C215:C229 C231:C233 C235:C236 C241:C244 C249:C252 C278:C279 C282:C287 C289:C290 C293:C296 C298:C299 C305:C312 C317:C324 C364:C367 C372 C384 C394:C395 C398:C400 C403:C1048576">
    <cfRule type="duplicateValues" dxfId="903" priority="193"/>
  </conditionalFormatting>
  <conditionalFormatting sqref="C10:C15 C1:C7 C18:C28 C32:C35 C37:C39 C42:C43 C50 C53 C55:C58 C62 C64:C74 C78 C80:C87 C89:C117 C119:C129 C131 C135:C138 C140:C141 C144:C148 C150:C164 C167:C169 C171:C179 C181:C207 C209:C213 C215:C229 C231:C236 C241:C244 C249:C252 C278:C279 C282:C287 C289:C290 C293:C296 C298:C299 C305:C312 C317:C324 C364:C367 C372 C384 C394:C395 C398:C400 C403:C1048576">
    <cfRule type="duplicateValues" dxfId="902" priority="191"/>
  </conditionalFormatting>
  <conditionalFormatting sqref="C10:C15 C1:C7 C18:C28 C32:C35 C37:C39 C42:C43 C50 C53 C55:C58 C62 C64:C74 C78 C80:C87 C89:C117 C119:C129 C131 C135:C138 C140:C141 C144:C148 C150:C164 C167:C169 C171:C179 C181:C207 C209:C229 C231:C236 C241:C244 C249:C252 C277:C279 C282:C287 C289:C290 C292:C296 C298:C299 C305:C312 C317:C324 C364:C367 C372 C384 C394:C395 C398:C400 C403:C1048576">
    <cfRule type="duplicateValues" dxfId="901" priority="186"/>
  </conditionalFormatting>
  <conditionalFormatting sqref="C10:C15 C1:C7 C18:C28 C32:C35 C37:C39 C42:C43 C50 C53 C55:C58 C62 C64:C74 C78 C80:C87 C89:C117 C119:C129 C131 C135:C138 C140:C141 C144:C148 C150:C164 C167:C169 C171:C179 C181:C207 C209:C229 C231:C236 C241:C244 C249:C252 C278:C279 C282:C287 C289:C290 C293:C296 C298:C299 C305:C312 C317:C324 C364:C367 C372 C384 C394:C395 C398:C400 C403:C1048576">
    <cfRule type="duplicateValues" dxfId="900" priority="189"/>
  </conditionalFormatting>
  <conditionalFormatting sqref="C10:C15 C1:C7 C18:C28 C32:C35 C37:C39 C42:C43 C50 C53 C55:C58 C62 C64:C74 C78 C80:C87 C89:C117 C119:C129 C131 C135:C138 C140:C141 C144:C148 C150:C164 C167:C169 C171:C179 C182:C207 C209:C213 C215:C221 C223:C229 C231:C233 C235:C236 C241:C244 C249:C252 C278:C279 C282:C287 C289:C290 C293:C296 C298:C299 C305:C312 C317:C319 C321:C324 C364:C367 C372 C384 C394:C395 C398:C399 C403:C1048576">
    <cfRule type="duplicateValues" dxfId="899" priority="200"/>
  </conditionalFormatting>
  <conditionalFormatting sqref="C10:C15 C1:C7 C18:C28 C32:C35 C37:C39 C42:C43 C50 C53 C55:C58 C62 C64:C74 C78 C80:C87 C89:C117 C119:C129 C131 C135:C138 C140:C141 C144:C148 C150:C164 C167:C169 C171:C179 C182:C207 C209:C213 C215:C229 C231:C233 C235:C236 C241:C244 C249:C252 C278:C279 C282:C287 C289:C290 C293:C296 C298:C299 C305:C312 C317:C319 C321:C324 C364:C367 C372 C384 C394:C395 C398:C399 C403:C1048576">
    <cfRule type="duplicateValues" dxfId="898" priority="198"/>
  </conditionalFormatting>
  <conditionalFormatting sqref="C10:C15 C1:C7 C18:C28 C32:C35 C37:C39 C42:C43 C50 C53 C55:C58 C62 C64:C74 C78 C80:C87 C89:C117 C119:C129 C131 C135:C138 C140:C141 C144:C148 C150:C164 C167:C169 C171:C179 C182:C207 C209:C213 C215:C229 C231:C233 C235:C236 C241:C244 C249:C252 C278:C279 C282:C287 C289:C290 C293:C296 C298:C299 C305:C312 C317:C324 C364:C367 C372 C384 C394:C395 C398:C399 C403:C1048576">
    <cfRule type="duplicateValues" dxfId="897" priority="196"/>
  </conditionalFormatting>
  <conditionalFormatting sqref="C10:C15 C1:C7 C18:C28 C32:C35 C37:C39 C42:C43 C50 C53 C55:C58 C62 C64:C74 C78 C80:C87 C89:C117 C119:C129 C131 C135:C138 C140:C141 C144:C148 C150:C164 C167:C169 C171:C179 C182:C207 C209:C213 C215:C229 C231:C233 C235:C236 C241:C244 C249:C252 C278:C279 C282:C287 C289:C290 C293:C296 C298:C299 C305:C312 C317:C324 C364:C367 C372 C384 C394:C395 C398:C400 C403:C1048576">
    <cfRule type="duplicateValues" dxfId="896" priority="195"/>
  </conditionalFormatting>
  <conditionalFormatting sqref="C10:C28 C1:C7 C30:C35 C37:C39 C42:C43 C50 C53 C55:C58 C62 C64:C74 C77:C78 C80:C87 C89:C117 C119:C131 C135:C138 C140:C141 C144:C148 C150:C164 C166:C169 C171:C179 C181:C207 C209:C236 C241:C244 C249:C252 C272 C276:C296 C298:C299 C305:C312 C317:C324 C364:C367 C372 C384:C385 C394:C1048576">
    <cfRule type="duplicateValues" dxfId="895" priority="149"/>
  </conditionalFormatting>
  <conditionalFormatting sqref="C10:C28 C1:C7 C30:C35 C37:C39 C42:C43 C50 C53 C55:C58 C62 C64:C74 C77:C78 C80:C117 C119:C131 C135:C138 C140:C141 C144:C148 C150:C164 C166:C169 C171:C179 C181:C207 C209:C236 C241:C244 C249:C252 C272 C276:C296 C298:C299 C305:C312 C317:C324 C364:C367 C372 C384:C385 C394:C1048576">
    <cfRule type="duplicateValues" dxfId="894" priority="148"/>
  </conditionalFormatting>
  <conditionalFormatting sqref="C10:C28 C1:C7 C30:C35 C37:C39 C42:C43 C50 C53 C55:C58 C62 C64:C74 C77:C78 C80:C117 C119:C131 C135:C138 C140:C141 C144:C148 C150:C164 C166:C179 C181:C207 C209:C236 C241:C244 C249:C252 C272 C276:C296 C298:C299 C305:C312 C317:C324 C364:C367 C372 C384:C385 C394:C1048576">
    <cfRule type="duplicateValues" dxfId="893" priority="146"/>
  </conditionalFormatting>
  <conditionalFormatting sqref="C10:C28 C1:C7 C30:C35 C37:C39 C42:C43 C50 C53 C55:C58 C62 C64:C74 C77:C78 C80:C117 C119:C131 C135:C138 C140:C141 C144:C148 C150:C179 C181:C207 C209:C236 C241:C244 C249:C252 C272 C276:C296 C298:C299 C305:C312 C317:C324 C364:C367 C372 C384:C385 C394:C1048576">
    <cfRule type="duplicateValues" dxfId="892" priority="144"/>
  </conditionalFormatting>
  <conditionalFormatting sqref="C12:C15 C18:C19">
    <cfRule type="duplicateValues" dxfId="891" priority="330"/>
  </conditionalFormatting>
  <conditionalFormatting sqref="C16:C17">
    <cfRule type="duplicateValues" dxfId="890" priority="150"/>
  </conditionalFormatting>
  <conditionalFormatting sqref="C20">
    <cfRule type="duplicateValues" dxfId="889" priority="329"/>
  </conditionalFormatting>
  <conditionalFormatting sqref="C21">
    <cfRule type="duplicateValues" dxfId="888" priority="328"/>
  </conditionalFormatting>
  <conditionalFormatting sqref="C22:C23">
    <cfRule type="duplicateValues" dxfId="887" priority="311"/>
  </conditionalFormatting>
  <conditionalFormatting sqref="C24:C25">
    <cfRule type="duplicateValues" dxfId="886" priority="296"/>
  </conditionalFormatting>
  <conditionalFormatting sqref="C26:C27 C33:C35">
    <cfRule type="duplicateValues" dxfId="885" priority="327"/>
  </conditionalFormatting>
  <conditionalFormatting sqref="C28">
    <cfRule type="duplicateValues" dxfId="884" priority="299"/>
  </conditionalFormatting>
  <conditionalFormatting sqref="C29">
    <cfRule type="duplicateValues" dxfId="883" priority="10"/>
  </conditionalFormatting>
  <conditionalFormatting sqref="C30">
    <cfRule type="duplicateValues" dxfId="882" priority="181"/>
  </conditionalFormatting>
  <conditionalFormatting sqref="C31">
    <cfRule type="duplicateValues" dxfId="881" priority="182"/>
  </conditionalFormatting>
  <conditionalFormatting sqref="C32 C50 C53 C55:C58 C62 C64:C74 C78">
    <cfRule type="duplicateValues" dxfId="880" priority="180"/>
  </conditionalFormatting>
  <conditionalFormatting sqref="C32 C69:C70 C78">
    <cfRule type="duplicateValues" dxfId="879" priority="326"/>
  </conditionalFormatting>
  <conditionalFormatting sqref="C36">
    <cfRule type="duplicateValues" dxfId="878" priority="6"/>
  </conditionalFormatting>
  <conditionalFormatting sqref="C38">
    <cfRule type="duplicateValues" dxfId="877" priority="254"/>
    <cfRule type="duplicateValues" dxfId="876" priority="255"/>
    <cfRule type="duplicateValues" dxfId="875" priority="256"/>
  </conditionalFormatting>
  <conditionalFormatting sqref="C41">
    <cfRule type="duplicateValues" dxfId="874" priority="11"/>
  </conditionalFormatting>
  <conditionalFormatting sqref="C44">
    <cfRule type="duplicateValues" dxfId="873" priority="9"/>
  </conditionalFormatting>
  <conditionalFormatting sqref="C45:C47">
    <cfRule type="duplicateValues" dxfId="872" priority="143"/>
  </conditionalFormatting>
  <conditionalFormatting sqref="C48">
    <cfRule type="duplicateValues" dxfId="871" priority="142"/>
  </conditionalFormatting>
  <conditionalFormatting sqref="C49">
    <cfRule type="duplicateValues" dxfId="870" priority="141"/>
  </conditionalFormatting>
  <conditionalFormatting sqref="C50">
    <cfRule type="duplicateValues" dxfId="869" priority="309"/>
  </conditionalFormatting>
  <conditionalFormatting sqref="C51:C52">
    <cfRule type="duplicateValues" dxfId="868" priority="140"/>
  </conditionalFormatting>
  <conditionalFormatting sqref="C53">
    <cfRule type="duplicateValues" dxfId="867" priority="308"/>
  </conditionalFormatting>
  <conditionalFormatting sqref="C54">
    <cfRule type="duplicateValues" dxfId="866" priority="5"/>
  </conditionalFormatting>
  <conditionalFormatting sqref="C55:C56">
    <cfRule type="duplicateValues" dxfId="865" priority="307"/>
  </conditionalFormatting>
  <conditionalFormatting sqref="C57">
    <cfRule type="duplicateValues" dxfId="864" priority="238"/>
    <cfRule type="duplicateValues" dxfId="863" priority="239"/>
  </conditionalFormatting>
  <conditionalFormatting sqref="C59">
    <cfRule type="duplicateValues" dxfId="862" priority="3"/>
    <cfRule type="duplicateValues" dxfId="861" priority="4"/>
  </conditionalFormatting>
  <conditionalFormatting sqref="C59:C60">
    <cfRule type="duplicateValues" dxfId="860" priority="1"/>
  </conditionalFormatting>
  <conditionalFormatting sqref="C60">
    <cfRule type="duplicateValues" dxfId="859" priority="2"/>
  </conditionalFormatting>
  <conditionalFormatting sqref="C61">
    <cfRule type="duplicateValues" dxfId="858" priority="23"/>
  </conditionalFormatting>
  <conditionalFormatting sqref="C62">
    <cfRule type="duplicateValues" dxfId="857" priority="218"/>
  </conditionalFormatting>
  <conditionalFormatting sqref="C63">
    <cfRule type="duplicateValues" dxfId="856" priority="22"/>
  </conditionalFormatting>
  <conditionalFormatting sqref="C64">
    <cfRule type="duplicateValues" dxfId="855" priority="306"/>
  </conditionalFormatting>
  <conditionalFormatting sqref="C65">
    <cfRule type="duplicateValues" dxfId="854" priority="325"/>
  </conditionalFormatting>
  <conditionalFormatting sqref="C66">
    <cfRule type="duplicateValues" dxfId="853" priority="295"/>
  </conditionalFormatting>
  <conditionalFormatting sqref="C67">
    <cfRule type="duplicateValues" dxfId="852" priority="277"/>
  </conditionalFormatting>
  <conditionalFormatting sqref="C68">
    <cfRule type="duplicateValues" dxfId="851" priority="276"/>
  </conditionalFormatting>
  <conditionalFormatting sqref="C71">
    <cfRule type="duplicateValues" dxfId="850" priority="275"/>
  </conditionalFormatting>
  <conditionalFormatting sqref="C72">
    <cfRule type="duplicateValues" dxfId="849" priority="274"/>
  </conditionalFormatting>
  <conditionalFormatting sqref="C73">
    <cfRule type="duplicateValues" dxfId="848" priority="303"/>
  </conditionalFormatting>
  <conditionalFormatting sqref="C74">
    <cfRule type="duplicateValues" dxfId="847" priority="304"/>
  </conditionalFormatting>
  <conditionalFormatting sqref="C75">
    <cfRule type="duplicateValues" dxfId="846" priority="139"/>
  </conditionalFormatting>
  <conditionalFormatting sqref="C76">
    <cfRule type="duplicateValues" dxfId="845" priority="21"/>
  </conditionalFormatting>
  <conditionalFormatting sqref="C79">
    <cfRule type="duplicateValues" dxfId="844" priority="25"/>
  </conditionalFormatting>
  <conditionalFormatting sqref="C80">
    <cfRule type="duplicateValues" dxfId="843" priority="293"/>
  </conditionalFormatting>
  <conditionalFormatting sqref="C80:C87 C89:C117 C119:C129 C131 C135:C138 C140:C141 C144:C147">
    <cfRule type="duplicateValues" dxfId="842" priority="179"/>
  </conditionalFormatting>
  <conditionalFormatting sqref="C81">
    <cfRule type="duplicateValues" dxfId="841" priority="292"/>
  </conditionalFormatting>
  <conditionalFormatting sqref="C82">
    <cfRule type="duplicateValues" dxfId="840" priority="291"/>
  </conditionalFormatting>
  <conditionalFormatting sqref="C83">
    <cfRule type="duplicateValues" dxfId="839" priority="294"/>
  </conditionalFormatting>
  <conditionalFormatting sqref="C84:C85 C87 C91:C92 C96:C98 C100 C102 C104:C113 C115 C119:C123">
    <cfRule type="duplicateValues" dxfId="838" priority="324"/>
  </conditionalFormatting>
  <conditionalFormatting sqref="C86">
    <cfRule type="duplicateValues" dxfId="837" priority="226"/>
    <cfRule type="duplicateValues" dxfId="836" priority="227"/>
  </conditionalFormatting>
  <conditionalFormatting sqref="C93">
    <cfRule type="duplicateValues" dxfId="835" priority="203"/>
  </conditionalFormatting>
  <conditionalFormatting sqref="C94">
    <cfRule type="duplicateValues" dxfId="834" priority="323"/>
  </conditionalFormatting>
  <conditionalFormatting sqref="C95">
    <cfRule type="duplicateValues" dxfId="833" priority="322"/>
  </conditionalFormatting>
  <conditionalFormatting sqref="C103">
    <cfRule type="duplicateValues" dxfId="832" priority="233"/>
  </conditionalFormatting>
  <conditionalFormatting sqref="C116">
    <cfRule type="duplicateValues" dxfId="831" priority="290"/>
  </conditionalFormatting>
  <conditionalFormatting sqref="C117">
    <cfRule type="duplicateValues" dxfId="830" priority="262"/>
  </conditionalFormatting>
  <conditionalFormatting sqref="C118">
    <cfRule type="duplicateValues" dxfId="829" priority="24"/>
  </conditionalFormatting>
  <conditionalFormatting sqref="C128:C129">
    <cfRule type="duplicateValues" dxfId="828" priority="270"/>
  </conditionalFormatting>
  <conditionalFormatting sqref="C129">
    <cfRule type="duplicateValues" dxfId="827" priority="271"/>
  </conditionalFormatting>
  <conditionalFormatting sqref="C130">
    <cfRule type="duplicateValues" dxfId="826" priority="164"/>
  </conditionalFormatting>
  <conditionalFormatting sqref="C131">
    <cfRule type="duplicateValues" dxfId="825" priority="289"/>
  </conditionalFormatting>
  <conditionalFormatting sqref="C132">
    <cfRule type="duplicateValues" dxfId="824" priority="138"/>
  </conditionalFormatting>
  <conditionalFormatting sqref="C133">
    <cfRule type="duplicateValues" dxfId="823" priority="137"/>
  </conditionalFormatting>
  <conditionalFormatting sqref="C134">
    <cfRule type="duplicateValues" dxfId="822" priority="77"/>
  </conditionalFormatting>
  <conditionalFormatting sqref="C135">
    <cfRule type="duplicateValues" dxfId="821" priority="225"/>
  </conditionalFormatting>
  <conditionalFormatting sqref="C136">
    <cfRule type="duplicateValues" dxfId="820" priority="269"/>
  </conditionalFormatting>
  <conditionalFormatting sqref="C137">
    <cfRule type="duplicateValues" dxfId="819" priority="213"/>
  </conditionalFormatting>
  <conditionalFormatting sqref="C138">
    <cfRule type="duplicateValues" dxfId="818" priority="272"/>
    <cfRule type="duplicateValues" dxfId="817" priority="273"/>
  </conditionalFormatting>
  <conditionalFormatting sqref="C139">
    <cfRule type="duplicateValues" dxfId="816" priority="20"/>
  </conditionalFormatting>
  <conditionalFormatting sqref="C140">
    <cfRule type="duplicateValues" dxfId="815" priority="268"/>
  </conditionalFormatting>
  <conditionalFormatting sqref="C141">
    <cfRule type="duplicateValues" dxfId="814" priority="267"/>
  </conditionalFormatting>
  <conditionalFormatting sqref="C142">
    <cfRule type="duplicateValues" dxfId="813" priority="136"/>
  </conditionalFormatting>
  <conditionalFormatting sqref="C144:C145">
    <cfRule type="duplicateValues" dxfId="812" priority="321"/>
  </conditionalFormatting>
  <conditionalFormatting sqref="C146:C147">
    <cfRule type="duplicateValues" dxfId="811" priority="212"/>
  </conditionalFormatting>
  <conditionalFormatting sqref="C148 C150 C152:C153 C155:C156 C160:C163 C167 C169 C172:C176 C178:C179 C182 C184:C188 C190:C196 C200 C205:C206 C209 C211 C213 C215:C216 C218:C220 C227:C229 C232">
    <cfRule type="duplicateValues" dxfId="810" priority="320"/>
  </conditionalFormatting>
  <conditionalFormatting sqref="C148 C150:C164 C167:C169 C171:C179 C181:C183 C232">
    <cfRule type="duplicateValues" dxfId="809" priority="178"/>
  </conditionalFormatting>
  <conditionalFormatting sqref="C149">
    <cfRule type="duplicateValues" dxfId="808" priority="19"/>
  </conditionalFormatting>
  <conditionalFormatting sqref="C151">
    <cfRule type="duplicateValues" dxfId="807" priority="319"/>
  </conditionalFormatting>
  <conditionalFormatting sqref="C154">
    <cfRule type="duplicateValues" dxfId="806" priority="310"/>
  </conditionalFormatting>
  <conditionalFormatting sqref="C157">
    <cfRule type="duplicateValues" dxfId="805" priority="217"/>
  </conditionalFormatting>
  <conditionalFormatting sqref="C158">
    <cfRule type="duplicateValues" dxfId="804" priority="235"/>
  </conditionalFormatting>
  <conditionalFormatting sqref="C159">
    <cfRule type="duplicateValues" dxfId="803" priority="315"/>
  </conditionalFormatting>
  <conditionalFormatting sqref="C164">
    <cfRule type="duplicateValues" dxfId="802" priority="316"/>
  </conditionalFormatting>
  <conditionalFormatting sqref="C165">
    <cfRule type="duplicateValues" dxfId="801" priority="145"/>
  </conditionalFormatting>
  <conditionalFormatting sqref="C168">
    <cfRule type="duplicateValues" dxfId="800" priority="216"/>
  </conditionalFormatting>
  <conditionalFormatting sqref="C170">
    <cfRule type="duplicateValues" dxfId="799" priority="147"/>
  </conditionalFormatting>
  <conditionalFormatting sqref="C171">
    <cfRule type="duplicateValues" dxfId="798" priority="210"/>
  </conditionalFormatting>
  <conditionalFormatting sqref="C177">
    <cfRule type="duplicateValues" dxfId="797" priority="286"/>
  </conditionalFormatting>
  <conditionalFormatting sqref="C180">
    <cfRule type="duplicateValues" dxfId="796" priority="135"/>
  </conditionalFormatting>
  <conditionalFormatting sqref="C181">
    <cfRule type="duplicateValues" dxfId="795" priority="194"/>
  </conditionalFormatting>
  <conditionalFormatting sqref="C183">
    <cfRule type="duplicateValues" dxfId="794" priority="284"/>
    <cfRule type="duplicateValues" dxfId="793" priority="285"/>
  </conditionalFormatting>
  <conditionalFormatting sqref="C184:C207 C209:C220">
    <cfRule type="duplicateValues" dxfId="792" priority="177"/>
  </conditionalFormatting>
  <conditionalFormatting sqref="C189">
    <cfRule type="duplicateValues" dxfId="791" priority="209"/>
  </conditionalFormatting>
  <conditionalFormatting sqref="C197">
    <cfRule type="duplicateValues" dxfId="790" priority="208"/>
  </conditionalFormatting>
  <conditionalFormatting sqref="C198">
    <cfRule type="duplicateValues" dxfId="789" priority="298"/>
  </conditionalFormatting>
  <conditionalFormatting sqref="C199">
    <cfRule type="duplicateValues" dxfId="788" priority="301"/>
  </conditionalFormatting>
  <conditionalFormatting sqref="C201">
    <cfRule type="duplicateValues" dxfId="787" priority="318"/>
  </conditionalFormatting>
  <conditionalFormatting sqref="C202">
    <cfRule type="duplicateValues" dxfId="786" priority="282"/>
  </conditionalFormatting>
  <conditionalFormatting sqref="C203">
    <cfRule type="duplicateValues" dxfId="785" priority="207"/>
  </conditionalFormatting>
  <conditionalFormatting sqref="C204">
    <cfRule type="duplicateValues" dxfId="784" priority="224"/>
  </conditionalFormatting>
  <conditionalFormatting sqref="C207">
    <cfRule type="duplicateValues" dxfId="783" priority="281"/>
  </conditionalFormatting>
  <conditionalFormatting sqref="C208">
    <cfRule type="duplicateValues" dxfId="782" priority="18"/>
  </conditionalFormatting>
  <conditionalFormatting sqref="C210">
    <cfRule type="duplicateValues" dxfId="781" priority="302"/>
  </conditionalFormatting>
  <conditionalFormatting sqref="C212">
    <cfRule type="duplicateValues" dxfId="780" priority="234"/>
  </conditionalFormatting>
  <conditionalFormatting sqref="C214">
    <cfRule type="duplicateValues" dxfId="779" priority="190"/>
  </conditionalFormatting>
  <conditionalFormatting sqref="C217">
    <cfRule type="duplicateValues" dxfId="778" priority="317"/>
  </conditionalFormatting>
  <conditionalFormatting sqref="C221">
    <cfRule type="duplicateValues" dxfId="777" priority="278"/>
  </conditionalFormatting>
  <conditionalFormatting sqref="C221:C229 C231 C233:C234">
    <cfRule type="duplicateValues" dxfId="776" priority="176"/>
  </conditionalFormatting>
  <conditionalFormatting sqref="C222">
    <cfRule type="duplicateValues" dxfId="775" priority="199"/>
  </conditionalFormatting>
  <conditionalFormatting sqref="C223">
    <cfRule type="duplicateValues" dxfId="774" priority="312"/>
  </conditionalFormatting>
  <conditionalFormatting sqref="C224">
    <cfRule type="duplicateValues" dxfId="773" priority="300"/>
  </conditionalFormatting>
  <conditionalFormatting sqref="C225">
    <cfRule type="duplicateValues" dxfId="772" priority="279"/>
  </conditionalFormatting>
  <conditionalFormatting sqref="C226">
    <cfRule type="duplicateValues" dxfId="771" priority="313"/>
  </conditionalFormatting>
  <conditionalFormatting sqref="C230">
    <cfRule type="duplicateValues" dxfId="770" priority="167"/>
  </conditionalFormatting>
  <conditionalFormatting sqref="C231">
    <cfRule type="duplicateValues" dxfId="769" priority="206"/>
  </conditionalFormatting>
  <conditionalFormatting sqref="C233">
    <cfRule type="duplicateValues" dxfId="768" priority="314"/>
  </conditionalFormatting>
  <conditionalFormatting sqref="C234">
    <cfRule type="duplicateValues" dxfId="767" priority="192"/>
  </conditionalFormatting>
  <conditionalFormatting sqref="C235:C236 C249 C252">
    <cfRule type="duplicateValues" dxfId="766" priority="305"/>
  </conditionalFormatting>
  <conditionalFormatting sqref="C237 C239:C240">
    <cfRule type="duplicateValues" dxfId="765" priority="133"/>
  </conditionalFormatting>
  <conditionalFormatting sqref="C237">
    <cfRule type="duplicateValues" dxfId="764" priority="134"/>
  </conditionalFormatting>
  <conditionalFormatting sqref="C237:C240">
    <cfRule type="duplicateValues" dxfId="763" priority="132"/>
  </conditionalFormatting>
  <conditionalFormatting sqref="C241">
    <cfRule type="duplicateValues" dxfId="762" priority="251"/>
  </conditionalFormatting>
  <conditionalFormatting sqref="C241:C244 C249:C252">
    <cfRule type="duplicateValues" dxfId="761" priority="175"/>
  </conditionalFormatting>
  <conditionalFormatting sqref="C242">
    <cfRule type="duplicateValues" dxfId="760" priority="250"/>
  </conditionalFormatting>
  <conditionalFormatting sqref="C244">
    <cfRule type="duplicateValues" dxfId="759" priority="249"/>
  </conditionalFormatting>
  <conditionalFormatting sqref="C245">
    <cfRule type="duplicateValues" dxfId="758" priority="131"/>
  </conditionalFormatting>
  <conditionalFormatting sqref="C245:C246">
    <cfRule type="duplicateValues" dxfId="757" priority="129"/>
  </conditionalFormatting>
  <conditionalFormatting sqref="C245:C248">
    <cfRule type="duplicateValues" dxfId="756" priority="128"/>
  </conditionalFormatting>
  <conditionalFormatting sqref="C246">
    <cfRule type="duplicateValues" dxfId="755" priority="130"/>
  </conditionalFormatting>
  <conditionalFormatting sqref="C250">
    <cfRule type="duplicateValues" dxfId="754" priority="205"/>
  </conditionalFormatting>
  <conditionalFormatting sqref="C251">
    <cfRule type="duplicateValues" dxfId="753" priority="247"/>
  </conditionalFormatting>
  <conditionalFormatting sqref="C253 C255">
    <cfRule type="duplicateValues" dxfId="752" priority="125"/>
  </conditionalFormatting>
  <conditionalFormatting sqref="C253 C255:C256">
    <cfRule type="duplicateValues" dxfId="751" priority="124"/>
  </conditionalFormatting>
  <conditionalFormatting sqref="C253">
    <cfRule type="duplicateValues" dxfId="750" priority="126"/>
    <cfRule type="duplicateValues" dxfId="749" priority="127"/>
  </conditionalFormatting>
  <conditionalFormatting sqref="C254">
    <cfRule type="duplicateValues" dxfId="748" priority="26"/>
  </conditionalFormatting>
  <conditionalFormatting sqref="C257:C258">
    <cfRule type="duplicateValues" dxfId="747" priority="122"/>
    <cfRule type="duplicateValues" dxfId="746" priority="123"/>
  </conditionalFormatting>
  <conditionalFormatting sqref="C257:C259">
    <cfRule type="duplicateValues" dxfId="745" priority="121"/>
  </conditionalFormatting>
  <conditionalFormatting sqref="C257:C260">
    <cfRule type="duplicateValues" dxfId="744" priority="119"/>
  </conditionalFormatting>
  <conditionalFormatting sqref="C260">
    <cfRule type="duplicateValues" dxfId="743" priority="120"/>
  </conditionalFormatting>
  <conditionalFormatting sqref="C262">
    <cfRule type="duplicateValues" dxfId="742" priority="117"/>
    <cfRule type="duplicateValues" dxfId="741" priority="118"/>
  </conditionalFormatting>
  <conditionalFormatting sqref="C264">
    <cfRule type="duplicateValues" dxfId="740" priority="76"/>
  </conditionalFormatting>
  <conditionalFormatting sqref="C265">
    <cfRule type="duplicateValues" dxfId="739" priority="116"/>
  </conditionalFormatting>
  <conditionalFormatting sqref="C265:C266">
    <cfRule type="duplicateValues" dxfId="738" priority="115"/>
  </conditionalFormatting>
  <conditionalFormatting sqref="C265:C268">
    <cfRule type="duplicateValues" dxfId="737" priority="113"/>
  </conditionalFormatting>
  <conditionalFormatting sqref="C267">
    <cfRule type="duplicateValues" dxfId="736" priority="114"/>
  </conditionalFormatting>
  <conditionalFormatting sqref="C269:C270">
    <cfRule type="duplicateValues" dxfId="735" priority="111"/>
    <cfRule type="duplicateValues" dxfId="734" priority="112"/>
  </conditionalFormatting>
  <conditionalFormatting sqref="C269:C271">
    <cfRule type="duplicateValues" dxfId="733" priority="110"/>
  </conditionalFormatting>
  <conditionalFormatting sqref="C272">
    <cfRule type="duplicateValues" dxfId="732" priority="154"/>
  </conditionalFormatting>
  <conditionalFormatting sqref="C273:C274">
    <cfRule type="duplicateValues" dxfId="731" priority="108"/>
    <cfRule type="duplicateValues" dxfId="730" priority="109"/>
  </conditionalFormatting>
  <conditionalFormatting sqref="C273:C275">
    <cfRule type="duplicateValues" dxfId="729" priority="107"/>
  </conditionalFormatting>
  <conditionalFormatting sqref="C276">
    <cfRule type="duplicateValues" dxfId="728" priority="158"/>
  </conditionalFormatting>
  <conditionalFormatting sqref="C277">
    <cfRule type="duplicateValues" dxfId="727" priority="188"/>
  </conditionalFormatting>
  <conditionalFormatting sqref="C277:C279 C282:C287 C289:C290 C292">
    <cfRule type="duplicateValues" dxfId="726" priority="174"/>
  </conditionalFormatting>
  <conditionalFormatting sqref="C280">
    <cfRule type="duplicateValues" dxfId="725" priority="159"/>
  </conditionalFormatting>
  <conditionalFormatting sqref="C281">
    <cfRule type="duplicateValues" dxfId="724" priority="160"/>
  </conditionalFormatting>
  <conditionalFormatting sqref="C282">
    <cfRule type="duplicateValues" dxfId="723" priority="231"/>
    <cfRule type="duplicateValues" dxfId="722" priority="232"/>
  </conditionalFormatting>
  <conditionalFormatting sqref="C284">
    <cfRule type="duplicateValues" dxfId="721" priority="245"/>
    <cfRule type="duplicateValues" dxfId="720" priority="246"/>
  </conditionalFormatting>
  <conditionalFormatting sqref="C288">
    <cfRule type="duplicateValues" dxfId="719" priority="161"/>
  </conditionalFormatting>
  <conditionalFormatting sqref="C289">
    <cfRule type="duplicateValues" dxfId="718" priority="288"/>
  </conditionalFormatting>
  <conditionalFormatting sqref="C290">
    <cfRule type="duplicateValues" dxfId="717" priority="229"/>
  </conditionalFormatting>
  <conditionalFormatting sqref="C291">
    <cfRule type="duplicateValues" dxfId="716" priority="162"/>
  </conditionalFormatting>
  <conditionalFormatting sqref="C292">
    <cfRule type="duplicateValues" dxfId="715" priority="187"/>
  </conditionalFormatting>
  <conditionalFormatting sqref="C293:C296 C298:C299 C305:C312 C317:C320">
    <cfRule type="duplicateValues" dxfId="714" priority="173"/>
  </conditionalFormatting>
  <conditionalFormatting sqref="C297">
    <cfRule type="duplicateValues" dxfId="713" priority="17"/>
  </conditionalFormatting>
  <conditionalFormatting sqref="C300">
    <cfRule type="duplicateValues" dxfId="712" priority="75"/>
  </conditionalFormatting>
  <conditionalFormatting sqref="C301:C302">
    <cfRule type="duplicateValues" dxfId="711" priority="73"/>
    <cfRule type="duplicateValues" dxfId="710" priority="74"/>
  </conditionalFormatting>
  <conditionalFormatting sqref="C301:C303">
    <cfRule type="duplicateValues" dxfId="709" priority="70"/>
  </conditionalFormatting>
  <conditionalFormatting sqref="C301:C304">
    <cfRule type="duplicateValues" dxfId="708" priority="69"/>
  </conditionalFormatting>
  <conditionalFormatting sqref="C303">
    <cfRule type="duplicateValues" dxfId="707" priority="71"/>
    <cfRule type="duplicateValues" dxfId="706" priority="72"/>
  </conditionalFormatting>
  <conditionalFormatting sqref="C311">
    <cfRule type="duplicateValues" dxfId="705" priority="243"/>
  </conditionalFormatting>
  <conditionalFormatting sqref="C312">
    <cfRule type="duplicateValues" dxfId="704" priority="244"/>
  </conditionalFormatting>
  <conditionalFormatting sqref="C313:C314">
    <cfRule type="duplicateValues" dxfId="703" priority="105"/>
    <cfRule type="duplicateValues" dxfId="702" priority="106"/>
  </conditionalFormatting>
  <conditionalFormatting sqref="C313:C315">
    <cfRule type="duplicateValues" dxfId="701" priority="104"/>
  </conditionalFormatting>
  <conditionalFormatting sqref="C313:C316">
    <cfRule type="duplicateValues" dxfId="700" priority="103"/>
  </conditionalFormatting>
  <conditionalFormatting sqref="C318:C319">
    <cfRule type="duplicateValues" dxfId="699" priority="241"/>
    <cfRule type="duplicateValues" dxfId="698" priority="242"/>
  </conditionalFormatting>
  <conditionalFormatting sqref="C320">
    <cfRule type="duplicateValues" dxfId="697" priority="197"/>
  </conditionalFormatting>
  <conditionalFormatting sqref="C321:C324">
    <cfRule type="duplicateValues" dxfId="696" priority="172"/>
  </conditionalFormatting>
  <conditionalFormatting sqref="C322">
    <cfRule type="duplicateValues" dxfId="695" priority="261"/>
  </conditionalFormatting>
  <conditionalFormatting sqref="C325 C328">
    <cfRule type="duplicateValues" dxfId="694" priority="66"/>
  </conditionalFormatting>
  <conditionalFormatting sqref="C325">
    <cfRule type="duplicateValues" dxfId="693" priority="68"/>
  </conditionalFormatting>
  <conditionalFormatting sqref="C325:C326 C328">
    <cfRule type="duplicateValues" dxfId="692" priority="65"/>
  </conditionalFormatting>
  <conditionalFormatting sqref="C325:C328">
    <cfRule type="duplicateValues" dxfId="691" priority="64"/>
  </conditionalFormatting>
  <conditionalFormatting sqref="C328">
    <cfRule type="duplicateValues" dxfId="690" priority="67"/>
  </conditionalFormatting>
  <conditionalFormatting sqref="C329">
    <cfRule type="duplicateValues" dxfId="689" priority="62"/>
    <cfRule type="duplicateValues" dxfId="688" priority="63"/>
  </conditionalFormatting>
  <conditionalFormatting sqref="C329:C330">
    <cfRule type="duplicateValues" dxfId="687" priority="59"/>
  </conditionalFormatting>
  <conditionalFormatting sqref="C329:C332">
    <cfRule type="duplicateValues" dxfId="686" priority="58"/>
  </conditionalFormatting>
  <conditionalFormatting sqref="C330">
    <cfRule type="duplicateValues" dxfId="685" priority="60"/>
    <cfRule type="duplicateValues" dxfId="684" priority="61"/>
  </conditionalFormatting>
  <conditionalFormatting sqref="C333:C334">
    <cfRule type="duplicateValues" dxfId="683" priority="101"/>
    <cfRule type="duplicateValues" dxfId="682" priority="102"/>
  </conditionalFormatting>
  <conditionalFormatting sqref="C333:C335">
    <cfRule type="duplicateValues" dxfId="681" priority="100"/>
  </conditionalFormatting>
  <conditionalFormatting sqref="C336">
    <cfRule type="duplicateValues" dxfId="680" priority="99"/>
  </conditionalFormatting>
  <conditionalFormatting sqref="C337 C339">
    <cfRule type="duplicateValues" dxfId="679" priority="56"/>
    <cfRule type="duplicateValues" dxfId="678" priority="57"/>
  </conditionalFormatting>
  <conditionalFormatting sqref="C337:C339">
    <cfRule type="duplicateValues" dxfId="677" priority="53"/>
  </conditionalFormatting>
  <conditionalFormatting sqref="C337:C340">
    <cfRule type="duplicateValues" dxfId="676" priority="50"/>
  </conditionalFormatting>
  <conditionalFormatting sqref="C338">
    <cfRule type="duplicateValues" dxfId="675" priority="54"/>
    <cfRule type="duplicateValues" dxfId="674" priority="55"/>
  </conditionalFormatting>
  <conditionalFormatting sqref="C340">
    <cfRule type="duplicateValues" dxfId="673" priority="51"/>
    <cfRule type="duplicateValues" dxfId="672" priority="52"/>
  </conditionalFormatting>
  <conditionalFormatting sqref="C341">
    <cfRule type="duplicateValues" dxfId="671" priority="98"/>
  </conditionalFormatting>
  <conditionalFormatting sqref="C341:C342 C344">
    <cfRule type="duplicateValues" dxfId="670" priority="95"/>
  </conditionalFormatting>
  <conditionalFormatting sqref="C341:C342">
    <cfRule type="duplicateValues" dxfId="669" priority="96"/>
  </conditionalFormatting>
  <conditionalFormatting sqref="C341:C344">
    <cfRule type="duplicateValues" dxfId="668" priority="94"/>
  </conditionalFormatting>
  <conditionalFormatting sqref="C342">
    <cfRule type="duplicateValues" dxfId="667" priority="97"/>
  </conditionalFormatting>
  <conditionalFormatting sqref="C345:C346 C348">
    <cfRule type="duplicateValues" dxfId="666" priority="47"/>
  </conditionalFormatting>
  <conditionalFormatting sqref="C345:C346">
    <cfRule type="duplicateValues" dxfId="665" priority="48"/>
    <cfRule type="duplicateValues" dxfId="664" priority="49"/>
  </conditionalFormatting>
  <conditionalFormatting sqref="C347">
    <cfRule type="duplicateValues" dxfId="663" priority="27"/>
    <cfRule type="duplicateValues" dxfId="662" priority="28"/>
  </conditionalFormatting>
  <conditionalFormatting sqref="C349">
    <cfRule type="duplicateValues" dxfId="661" priority="45"/>
  </conditionalFormatting>
  <conditionalFormatting sqref="C349:C350">
    <cfRule type="duplicateValues" dxfId="660" priority="44"/>
  </conditionalFormatting>
  <conditionalFormatting sqref="C349:C351">
    <cfRule type="duplicateValues" dxfId="659" priority="41"/>
  </conditionalFormatting>
  <conditionalFormatting sqref="C349:C352">
    <cfRule type="duplicateValues" dxfId="658" priority="40"/>
  </conditionalFormatting>
  <conditionalFormatting sqref="C350">
    <cfRule type="duplicateValues" dxfId="657" priority="46"/>
  </conditionalFormatting>
  <conditionalFormatting sqref="C351">
    <cfRule type="duplicateValues" dxfId="656" priority="42"/>
    <cfRule type="duplicateValues" dxfId="655" priority="43"/>
  </conditionalFormatting>
  <conditionalFormatting sqref="C353:C355">
    <cfRule type="duplicateValues" dxfId="654" priority="38"/>
    <cfRule type="duplicateValues" dxfId="653" priority="39"/>
  </conditionalFormatting>
  <conditionalFormatting sqref="C353:C356">
    <cfRule type="duplicateValues" dxfId="652" priority="37"/>
  </conditionalFormatting>
  <conditionalFormatting sqref="C357:C358">
    <cfRule type="duplicateValues" dxfId="651" priority="92"/>
    <cfRule type="duplicateValues" dxfId="650" priority="93"/>
  </conditionalFormatting>
  <conditionalFormatting sqref="C357:C360">
    <cfRule type="duplicateValues" dxfId="649" priority="91"/>
  </conditionalFormatting>
  <conditionalFormatting sqref="C361:C362">
    <cfRule type="duplicateValues" dxfId="648" priority="89"/>
    <cfRule type="duplicateValues" dxfId="647" priority="90"/>
  </conditionalFormatting>
  <conditionalFormatting sqref="C361:C363">
    <cfRule type="duplicateValues" dxfId="646" priority="88"/>
  </conditionalFormatting>
  <conditionalFormatting sqref="C364">
    <cfRule type="duplicateValues" dxfId="645" priority="253"/>
  </conditionalFormatting>
  <conditionalFormatting sqref="C364:C367 C372">
    <cfRule type="duplicateValues" dxfId="644" priority="171"/>
  </conditionalFormatting>
  <conditionalFormatting sqref="C368">
    <cfRule type="duplicateValues" dxfId="643" priority="8"/>
  </conditionalFormatting>
  <conditionalFormatting sqref="C369:C370">
    <cfRule type="duplicateValues" dxfId="642" priority="86"/>
    <cfRule type="duplicateValues" dxfId="641" priority="87"/>
  </conditionalFormatting>
  <conditionalFormatting sqref="C373:C374">
    <cfRule type="duplicateValues" dxfId="640" priority="85"/>
  </conditionalFormatting>
  <conditionalFormatting sqref="C373:C375">
    <cfRule type="duplicateValues" dxfId="639" priority="83"/>
  </conditionalFormatting>
  <conditionalFormatting sqref="C373:C376">
    <cfRule type="duplicateValues" dxfId="638" priority="82"/>
  </conditionalFormatting>
  <conditionalFormatting sqref="C375">
    <cfRule type="duplicateValues" dxfId="637" priority="84"/>
  </conditionalFormatting>
  <conditionalFormatting sqref="C377:C378 C380">
    <cfRule type="duplicateValues" dxfId="636" priority="35"/>
    <cfRule type="duplicateValues" dxfId="635" priority="36"/>
  </conditionalFormatting>
  <conditionalFormatting sqref="C377:C380">
    <cfRule type="duplicateValues" dxfId="634" priority="34"/>
  </conditionalFormatting>
  <conditionalFormatting sqref="C381:C382">
    <cfRule type="duplicateValues" dxfId="633" priority="32"/>
    <cfRule type="duplicateValues" dxfId="632" priority="33"/>
  </conditionalFormatting>
  <conditionalFormatting sqref="C384">
    <cfRule type="duplicateValues" dxfId="631" priority="252"/>
  </conditionalFormatting>
  <conditionalFormatting sqref="C384:C385 C394:C395 C398:C400 C402:C405">
    <cfRule type="duplicateValues" dxfId="630" priority="170"/>
  </conditionalFormatting>
  <conditionalFormatting sqref="C385">
    <cfRule type="duplicateValues" dxfId="629" priority="185"/>
  </conditionalFormatting>
  <conditionalFormatting sqref="C386 C388">
    <cfRule type="duplicateValues" dxfId="628" priority="30"/>
  </conditionalFormatting>
  <conditionalFormatting sqref="C386 C388:C389">
    <cfRule type="duplicateValues" dxfId="627" priority="29"/>
  </conditionalFormatting>
  <conditionalFormatting sqref="C387">
    <cfRule type="duplicateValues" dxfId="626" priority="7"/>
  </conditionalFormatting>
  <conditionalFormatting sqref="C388">
    <cfRule type="duplicateValues" dxfId="625" priority="31"/>
  </conditionalFormatting>
  <conditionalFormatting sqref="C390">
    <cfRule type="duplicateValues" dxfId="624" priority="14"/>
    <cfRule type="duplicateValues" dxfId="623" priority="15"/>
  </conditionalFormatting>
  <conditionalFormatting sqref="C390:C391 C393">
    <cfRule type="duplicateValues" dxfId="622" priority="13"/>
  </conditionalFormatting>
  <conditionalFormatting sqref="C390:C391">
    <cfRule type="duplicateValues" dxfId="621" priority="16"/>
  </conditionalFormatting>
  <conditionalFormatting sqref="C390:C393">
    <cfRule type="duplicateValues" dxfId="620" priority="12"/>
  </conditionalFormatting>
  <conditionalFormatting sqref="C395">
    <cfRule type="duplicateValues" dxfId="619" priority="219"/>
    <cfRule type="duplicateValues" dxfId="618" priority="220"/>
  </conditionalFormatting>
  <conditionalFormatting sqref="C397">
    <cfRule type="duplicateValues" dxfId="617" priority="152"/>
  </conditionalFormatting>
  <conditionalFormatting sqref="C398">
    <cfRule type="duplicateValues" dxfId="616" priority="221"/>
    <cfRule type="duplicateValues" dxfId="615" priority="222"/>
  </conditionalFormatting>
  <conditionalFormatting sqref="C399">
    <cfRule type="duplicateValues" dxfId="614" priority="265"/>
  </conditionalFormatting>
  <conditionalFormatting sqref="C402">
    <cfRule type="duplicateValues" dxfId="613" priority="184"/>
  </conditionalFormatting>
  <conditionalFormatting sqref="I287">
    <cfRule type="duplicateValues" dxfId="612" priority="266"/>
  </conditionalFormatting>
  <pageMargins left="0.75" right="0.75" top="1" bottom="1" header="0.5" footer="0.5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CE09D-CF44-4508-B595-4FB033E88073}">
  <dimension ref="A1:B141"/>
  <sheetViews>
    <sheetView workbookViewId="0">
      <selection sqref="A1:A1048576"/>
    </sheetView>
  </sheetViews>
  <sheetFormatPr defaultRowHeight="14.4" x14ac:dyDescent="0.25"/>
  <cols>
    <col min="1" max="2" width="11" bestFit="1" customWidth="1"/>
  </cols>
  <sheetData>
    <row r="1" spans="1:2" ht="15.6" x14ac:dyDescent="0.25">
      <c r="A1" s="7" t="s">
        <v>2</v>
      </c>
      <c r="B1" s="147" t="s">
        <v>3398</v>
      </c>
    </row>
    <row r="2" spans="1:2" x14ac:dyDescent="0.25">
      <c r="A2" t="s">
        <v>13</v>
      </c>
      <c r="B2">
        <v>2</v>
      </c>
    </row>
    <row r="3" spans="1:2" x14ac:dyDescent="0.25">
      <c r="A3" t="s">
        <v>20</v>
      </c>
      <c r="B3">
        <v>2</v>
      </c>
    </row>
    <row r="4" spans="1:2" x14ac:dyDescent="0.25">
      <c r="A4" t="s">
        <v>24</v>
      </c>
      <c r="B4">
        <v>2</v>
      </c>
    </row>
    <row r="5" spans="1:2" x14ac:dyDescent="0.25">
      <c r="A5" t="s">
        <v>29</v>
      </c>
      <c r="B5">
        <v>2</v>
      </c>
    </row>
    <row r="6" spans="1:2" x14ac:dyDescent="0.25">
      <c r="A6" t="s">
        <v>32</v>
      </c>
      <c r="B6">
        <v>2</v>
      </c>
    </row>
    <row r="7" spans="1:2" x14ac:dyDescent="0.25">
      <c r="A7" t="s">
        <v>36</v>
      </c>
      <c r="B7">
        <v>2</v>
      </c>
    </row>
    <row r="8" spans="1:2" x14ac:dyDescent="0.25">
      <c r="A8" t="s">
        <v>40</v>
      </c>
      <c r="B8">
        <v>2</v>
      </c>
    </row>
    <row r="9" spans="1:2" x14ac:dyDescent="0.25">
      <c r="A9" t="s">
        <v>43</v>
      </c>
      <c r="B9">
        <v>2</v>
      </c>
    </row>
    <row r="10" spans="1:2" x14ac:dyDescent="0.25">
      <c r="A10" t="s">
        <v>47</v>
      </c>
      <c r="B10">
        <v>2</v>
      </c>
    </row>
    <row r="11" spans="1:2" x14ac:dyDescent="0.25">
      <c r="A11" t="s">
        <v>50</v>
      </c>
      <c r="B11">
        <v>2</v>
      </c>
    </row>
    <row r="12" spans="1:2" x14ac:dyDescent="0.25">
      <c r="A12" t="s">
        <v>53</v>
      </c>
      <c r="B12">
        <v>2</v>
      </c>
    </row>
    <row r="13" spans="1:2" x14ac:dyDescent="0.25">
      <c r="A13" t="s">
        <v>56</v>
      </c>
      <c r="B13">
        <v>2</v>
      </c>
    </row>
    <row r="14" spans="1:2" x14ac:dyDescent="0.25">
      <c r="A14" t="s">
        <v>59</v>
      </c>
      <c r="B14">
        <v>2</v>
      </c>
    </row>
    <row r="15" spans="1:2" x14ac:dyDescent="0.25">
      <c r="A15" t="s">
        <v>62</v>
      </c>
      <c r="B15">
        <v>2</v>
      </c>
    </row>
    <row r="16" spans="1:2" x14ac:dyDescent="0.25">
      <c r="A16" t="s">
        <v>69</v>
      </c>
      <c r="B16">
        <v>2</v>
      </c>
    </row>
    <row r="17" spans="1:2" x14ac:dyDescent="0.25">
      <c r="A17" t="s">
        <v>75</v>
      </c>
      <c r="B17">
        <v>1</v>
      </c>
    </row>
    <row r="18" spans="1:2" x14ac:dyDescent="0.25">
      <c r="A18" t="s">
        <v>77</v>
      </c>
      <c r="B18">
        <v>1</v>
      </c>
    </row>
    <row r="19" spans="1:2" x14ac:dyDescent="0.25">
      <c r="A19" t="s">
        <v>79</v>
      </c>
      <c r="B19">
        <v>2</v>
      </c>
    </row>
    <row r="20" spans="1:2" x14ac:dyDescent="0.25">
      <c r="A20" t="s">
        <v>82</v>
      </c>
      <c r="B20">
        <v>1</v>
      </c>
    </row>
    <row r="21" spans="1:2" x14ac:dyDescent="0.25">
      <c r="A21" t="s">
        <v>83</v>
      </c>
      <c r="B21">
        <v>2</v>
      </c>
    </row>
    <row r="22" spans="1:2" x14ac:dyDescent="0.25">
      <c r="A22" t="s">
        <v>88</v>
      </c>
      <c r="B22">
        <v>1</v>
      </c>
    </row>
    <row r="23" spans="1:2" x14ac:dyDescent="0.25">
      <c r="A23" t="s">
        <v>90</v>
      </c>
      <c r="B23">
        <v>2</v>
      </c>
    </row>
    <row r="24" spans="1:2" x14ac:dyDescent="0.25">
      <c r="A24" t="s">
        <v>95</v>
      </c>
      <c r="B24">
        <v>2</v>
      </c>
    </row>
    <row r="25" spans="1:2" x14ac:dyDescent="0.25">
      <c r="A25" t="s">
        <v>99</v>
      </c>
      <c r="B25">
        <v>2</v>
      </c>
    </row>
    <row r="26" spans="1:2" x14ac:dyDescent="0.25">
      <c r="A26" t="s">
        <v>104</v>
      </c>
      <c r="B26">
        <v>2</v>
      </c>
    </row>
    <row r="27" spans="1:2" x14ac:dyDescent="0.25">
      <c r="A27" t="s">
        <v>107</v>
      </c>
      <c r="B27">
        <v>2</v>
      </c>
    </row>
    <row r="28" spans="1:2" x14ac:dyDescent="0.25">
      <c r="A28" t="s">
        <v>112</v>
      </c>
      <c r="B28">
        <v>2</v>
      </c>
    </row>
    <row r="29" spans="1:2" x14ac:dyDescent="0.25">
      <c r="A29" t="s">
        <v>117</v>
      </c>
      <c r="B29">
        <v>2</v>
      </c>
    </row>
    <row r="30" spans="1:2" x14ac:dyDescent="0.25">
      <c r="A30" t="s">
        <v>122</v>
      </c>
      <c r="B30">
        <v>2</v>
      </c>
    </row>
    <row r="31" spans="1:2" x14ac:dyDescent="0.25">
      <c r="A31" t="s">
        <v>126</v>
      </c>
      <c r="B31">
        <v>2</v>
      </c>
    </row>
    <row r="32" spans="1:2" x14ac:dyDescent="0.25">
      <c r="A32" t="s">
        <v>130</v>
      </c>
      <c r="B32">
        <v>2</v>
      </c>
    </row>
    <row r="33" spans="1:2" x14ac:dyDescent="0.25">
      <c r="A33" t="s">
        <v>133</v>
      </c>
      <c r="B33">
        <v>2</v>
      </c>
    </row>
    <row r="34" spans="1:2" x14ac:dyDescent="0.25">
      <c r="A34" t="s">
        <v>136</v>
      </c>
      <c r="B34">
        <v>2</v>
      </c>
    </row>
    <row r="35" spans="1:2" x14ac:dyDescent="0.25">
      <c r="A35" t="s">
        <v>139</v>
      </c>
      <c r="B35">
        <v>2</v>
      </c>
    </row>
    <row r="36" spans="1:2" x14ac:dyDescent="0.25">
      <c r="A36" t="s">
        <v>142</v>
      </c>
      <c r="B36">
        <v>2</v>
      </c>
    </row>
    <row r="37" spans="1:2" x14ac:dyDescent="0.25">
      <c r="A37" t="s">
        <v>146</v>
      </c>
      <c r="B37">
        <v>2</v>
      </c>
    </row>
    <row r="38" spans="1:2" x14ac:dyDescent="0.25">
      <c r="A38" t="s">
        <v>151</v>
      </c>
      <c r="B38">
        <v>2</v>
      </c>
    </row>
    <row r="39" spans="1:2" x14ac:dyDescent="0.25">
      <c r="A39" t="s">
        <v>154</v>
      </c>
      <c r="B39">
        <v>3</v>
      </c>
    </row>
    <row r="40" spans="1:2" x14ac:dyDescent="0.25">
      <c r="A40" t="s">
        <v>159</v>
      </c>
      <c r="B40">
        <v>2</v>
      </c>
    </row>
    <row r="41" spans="1:2" x14ac:dyDescent="0.25">
      <c r="A41" t="s">
        <v>165</v>
      </c>
      <c r="B41">
        <v>2</v>
      </c>
    </row>
    <row r="42" spans="1:2" x14ac:dyDescent="0.25">
      <c r="A42" t="s">
        <v>170</v>
      </c>
      <c r="B42">
        <v>4</v>
      </c>
    </row>
    <row r="43" spans="1:2" x14ac:dyDescent="0.25">
      <c r="A43" t="s">
        <v>175</v>
      </c>
      <c r="B43">
        <v>4</v>
      </c>
    </row>
    <row r="44" spans="1:2" x14ac:dyDescent="0.25">
      <c r="A44" t="s">
        <v>179</v>
      </c>
      <c r="B44">
        <v>2</v>
      </c>
    </row>
    <row r="45" spans="1:2" x14ac:dyDescent="0.25">
      <c r="A45" t="s">
        <v>182</v>
      </c>
      <c r="B45">
        <v>2</v>
      </c>
    </row>
    <row r="46" spans="1:2" x14ac:dyDescent="0.25">
      <c r="A46" t="s">
        <v>185</v>
      </c>
      <c r="B46">
        <v>2</v>
      </c>
    </row>
    <row r="47" spans="1:2" x14ac:dyDescent="0.25">
      <c r="A47" t="s">
        <v>188</v>
      </c>
      <c r="B47">
        <v>2</v>
      </c>
    </row>
    <row r="48" spans="1:2" x14ac:dyDescent="0.25">
      <c r="A48" t="s">
        <v>191</v>
      </c>
      <c r="B48">
        <v>4</v>
      </c>
    </row>
    <row r="49" spans="1:2" x14ac:dyDescent="0.25">
      <c r="A49" t="s">
        <v>196</v>
      </c>
      <c r="B49">
        <v>0</v>
      </c>
    </row>
    <row r="50" spans="1:2" x14ac:dyDescent="0.25">
      <c r="A50" t="s">
        <v>197</v>
      </c>
      <c r="B50">
        <v>2</v>
      </c>
    </row>
    <row r="51" spans="1:2" x14ac:dyDescent="0.25">
      <c r="A51" t="s">
        <v>200</v>
      </c>
      <c r="B51">
        <v>4</v>
      </c>
    </row>
    <row r="52" spans="1:2" x14ac:dyDescent="0.25">
      <c r="A52" t="s">
        <v>205</v>
      </c>
      <c r="B52">
        <v>4</v>
      </c>
    </row>
    <row r="53" spans="1:2" x14ac:dyDescent="0.25">
      <c r="A53" t="s">
        <v>209</v>
      </c>
      <c r="B53">
        <v>4</v>
      </c>
    </row>
    <row r="54" spans="1:2" x14ac:dyDescent="0.25">
      <c r="A54" t="s">
        <v>216</v>
      </c>
      <c r="B54">
        <v>2</v>
      </c>
    </row>
    <row r="55" spans="1:2" x14ac:dyDescent="0.25">
      <c r="A55" t="s">
        <v>219</v>
      </c>
      <c r="B55">
        <v>2</v>
      </c>
    </row>
    <row r="56" spans="1:2" x14ac:dyDescent="0.25">
      <c r="A56" t="s">
        <v>224</v>
      </c>
      <c r="B56">
        <v>2</v>
      </c>
    </row>
    <row r="57" spans="1:2" x14ac:dyDescent="0.25">
      <c r="A57" t="s">
        <v>228</v>
      </c>
      <c r="B57">
        <v>2</v>
      </c>
    </row>
    <row r="58" spans="1:2" x14ac:dyDescent="0.25">
      <c r="A58" t="s">
        <v>231</v>
      </c>
      <c r="B58">
        <v>2</v>
      </c>
    </row>
    <row r="59" spans="1:2" x14ac:dyDescent="0.25">
      <c r="A59" t="s">
        <v>234</v>
      </c>
      <c r="B59">
        <v>2</v>
      </c>
    </row>
    <row r="60" spans="1:2" x14ac:dyDescent="0.25">
      <c r="A60" t="s">
        <v>237</v>
      </c>
      <c r="B60">
        <v>2</v>
      </c>
    </row>
    <row r="61" spans="1:2" x14ac:dyDescent="0.25">
      <c r="A61" t="s">
        <v>240</v>
      </c>
      <c r="B61">
        <v>2</v>
      </c>
    </row>
    <row r="62" spans="1:2" x14ac:dyDescent="0.25">
      <c r="A62" t="s">
        <v>243</v>
      </c>
      <c r="B62">
        <v>2</v>
      </c>
    </row>
    <row r="63" spans="1:2" x14ac:dyDescent="0.25">
      <c r="A63" t="s">
        <v>246</v>
      </c>
      <c r="B63">
        <v>2</v>
      </c>
    </row>
    <row r="64" spans="1:2" x14ac:dyDescent="0.25">
      <c r="A64" t="s">
        <v>249</v>
      </c>
      <c r="B64">
        <v>2</v>
      </c>
    </row>
    <row r="65" spans="1:2" x14ac:dyDescent="0.25">
      <c r="A65" t="s">
        <v>252</v>
      </c>
      <c r="B65">
        <v>2</v>
      </c>
    </row>
    <row r="66" spans="1:2" x14ac:dyDescent="0.25">
      <c r="A66" t="s">
        <v>255</v>
      </c>
      <c r="B66">
        <v>2</v>
      </c>
    </row>
    <row r="67" spans="1:2" x14ac:dyDescent="0.25">
      <c r="A67" t="s">
        <v>259</v>
      </c>
      <c r="B67">
        <v>2</v>
      </c>
    </row>
    <row r="68" spans="1:2" x14ac:dyDescent="0.25">
      <c r="A68" t="s">
        <v>262</v>
      </c>
      <c r="B68">
        <v>2</v>
      </c>
    </row>
    <row r="69" spans="1:2" x14ac:dyDescent="0.25">
      <c r="A69" t="s">
        <v>265</v>
      </c>
      <c r="B69">
        <v>2</v>
      </c>
    </row>
    <row r="70" spans="1:2" x14ac:dyDescent="0.25">
      <c r="A70" t="s">
        <v>269</v>
      </c>
      <c r="B70">
        <v>2</v>
      </c>
    </row>
    <row r="71" spans="1:2" x14ac:dyDescent="0.25">
      <c r="A71" t="s">
        <v>272</v>
      </c>
      <c r="B71">
        <v>2</v>
      </c>
    </row>
    <row r="72" spans="1:2" x14ac:dyDescent="0.25">
      <c r="A72" t="s">
        <v>275</v>
      </c>
      <c r="B72">
        <v>2</v>
      </c>
    </row>
    <row r="73" spans="1:2" x14ac:dyDescent="0.25">
      <c r="A73" t="s">
        <v>278</v>
      </c>
      <c r="B73">
        <v>2</v>
      </c>
    </row>
    <row r="74" spans="1:2" x14ac:dyDescent="0.25">
      <c r="A74" t="s">
        <v>282</v>
      </c>
      <c r="B74">
        <v>2</v>
      </c>
    </row>
    <row r="75" spans="1:2" x14ac:dyDescent="0.25">
      <c r="A75" t="s">
        <v>285</v>
      </c>
      <c r="B75">
        <v>2</v>
      </c>
    </row>
    <row r="76" spans="1:2" x14ac:dyDescent="0.25">
      <c r="A76" t="s">
        <v>288</v>
      </c>
      <c r="B76">
        <v>2</v>
      </c>
    </row>
    <row r="77" spans="1:2" x14ac:dyDescent="0.25">
      <c r="A77" t="s">
        <v>291</v>
      </c>
      <c r="B77">
        <v>2</v>
      </c>
    </row>
    <row r="78" spans="1:2" x14ac:dyDescent="0.25">
      <c r="A78" t="s">
        <v>294</v>
      </c>
      <c r="B78">
        <v>2</v>
      </c>
    </row>
    <row r="79" spans="1:2" x14ac:dyDescent="0.25">
      <c r="A79" t="s">
        <v>297</v>
      </c>
      <c r="B79">
        <v>2</v>
      </c>
    </row>
    <row r="80" spans="1:2" x14ac:dyDescent="0.25">
      <c r="A80" t="s">
        <v>300</v>
      </c>
      <c r="B80">
        <v>2</v>
      </c>
    </row>
    <row r="81" spans="1:2" x14ac:dyDescent="0.25">
      <c r="A81" t="s">
        <v>303</v>
      </c>
      <c r="B81">
        <v>2</v>
      </c>
    </row>
    <row r="82" spans="1:2" x14ac:dyDescent="0.25">
      <c r="A82" t="s">
        <v>306</v>
      </c>
      <c r="B82">
        <v>2</v>
      </c>
    </row>
    <row r="83" spans="1:2" x14ac:dyDescent="0.25">
      <c r="A83" t="s">
        <v>310</v>
      </c>
      <c r="B83">
        <v>2</v>
      </c>
    </row>
    <row r="84" spans="1:2" x14ac:dyDescent="0.25">
      <c r="A84" t="s">
        <v>313</v>
      </c>
      <c r="B84">
        <v>1</v>
      </c>
    </row>
    <row r="85" spans="1:2" x14ac:dyDescent="0.25">
      <c r="A85" t="s">
        <v>315</v>
      </c>
      <c r="B85">
        <v>2</v>
      </c>
    </row>
    <row r="86" spans="1:2" x14ac:dyDescent="0.25">
      <c r="A86" t="s">
        <v>318</v>
      </c>
      <c r="B86">
        <v>1</v>
      </c>
    </row>
    <row r="87" spans="1:2" x14ac:dyDescent="0.25">
      <c r="A87" t="s">
        <v>320</v>
      </c>
      <c r="B87">
        <v>1</v>
      </c>
    </row>
    <row r="88" spans="1:2" x14ac:dyDescent="0.25">
      <c r="A88" t="s">
        <v>322</v>
      </c>
      <c r="B88">
        <v>2</v>
      </c>
    </row>
    <row r="89" spans="1:2" x14ac:dyDescent="0.25">
      <c r="A89" t="s">
        <v>327</v>
      </c>
      <c r="B89">
        <v>2</v>
      </c>
    </row>
    <row r="90" spans="1:2" x14ac:dyDescent="0.25">
      <c r="A90" t="s">
        <v>331</v>
      </c>
      <c r="B90">
        <v>2</v>
      </c>
    </row>
    <row r="91" spans="1:2" x14ac:dyDescent="0.25">
      <c r="A91" t="s">
        <v>335</v>
      </c>
      <c r="B91">
        <v>2</v>
      </c>
    </row>
    <row r="92" spans="1:2" x14ac:dyDescent="0.25">
      <c r="A92" t="s">
        <v>338</v>
      </c>
      <c r="B92">
        <v>2</v>
      </c>
    </row>
    <row r="93" spans="1:2" x14ac:dyDescent="0.25">
      <c r="A93" t="s">
        <v>341</v>
      </c>
      <c r="B93">
        <v>2</v>
      </c>
    </row>
    <row r="94" spans="1:2" x14ac:dyDescent="0.25">
      <c r="A94" t="s">
        <v>344</v>
      </c>
      <c r="B94">
        <v>2</v>
      </c>
    </row>
    <row r="95" spans="1:2" x14ac:dyDescent="0.25">
      <c r="A95" t="s">
        <v>348</v>
      </c>
      <c r="B95">
        <v>2</v>
      </c>
    </row>
    <row r="96" spans="1:2" x14ac:dyDescent="0.25">
      <c r="A96" t="s">
        <v>351</v>
      </c>
      <c r="B96">
        <v>2</v>
      </c>
    </row>
    <row r="97" spans="1:2" x14ac:dyDescent="0.25">
      <c r="A97" t="s">
        <v>355</v>
      </c>
      <c r="B97">
        <v>2</v>
      </c>
    </row>
    <row r="98" spans="1:2" x14ac:dyDescent="0.25">
      <c r="A98" t="s">
        <v>359</v>
      </c>
      <c r="B98">
        <v>1</v>
      </c>
    </row>
    <row r="99" spans="1:2" x14ac:dyDescent="0.25">
      <c r="A99" t="s">
        <v>362</v>
      </c>
      <c r="B99">
        <v>2</v>
      </c>
    </row>
    <row r="100" spans="1:2" x14ac:dyDescent="0.25">
      <c r="A100" t="s">
        <v>365</v>
      </c>
      <c r="B100">
        <v>4</v>
      </c>
    </row>
    <row r="101" spans="1:2" x14ac:dyDescent="0.25">
      <c r="A101" t="s">
        <v>372</v>
      </c>
      <c r="B101">
        <v>2</v>
      </c>
    </row>
    <row r="102" spans="1:2" x14ac:dyDescent="0.25">
      <c r="A102" t="s">
        <v>378</v>
      </c>
      <c r="B102">
        <v>4</v>
      </c>
    </row>
    <row r="103" spans="1:2" x14ac:dyDescent="0.25">
      <c r="A103" t="s">
        <v>384</v>
      </c>
      <c r="B103">
        <v>4</v>
      </c>
    </row>
    <row r="104" spans="1:2" x14ac:dyDescent="0.25">
      <c r="A104" t="s">
        <v>392</v>
      </c>
      <c r="B104">
        <v>3</v>
      </c>
    </row>
    <row r="105" spans="1:2" x14ac:dyDescent="0.25">
      <c r="A105" t="s">
        <v>398</v>
      </c>
      <c r="B105">
        <v>4</v>
      </c>
    </row>
    <row r="106" spans="1:2" x14ac:dyDescent="0.25">
      <c r="A106" t="s">
        <v>405</v>
      </c>
      <c r="B106">
        <v>4</v>
      </c>
    </row>
    <row r="107" spans="1:2" x14ac:dyDescent="0.25">
      <c r="A107" t="s">
        <v>412</v>
      </c>
      <c r="B107">
        <v>4</v>
      </c>
    </row>
    <row r="108" spans="1:2" x14ac:dyDescent="0.25">
      <c r="A108" t="s">
        <v>417</v>
      </c>
      <c r="B108">
        <v>4</v>
      </c>
    </row>
    <row r="109" spans="1:2" x14ac:dyDescent="0.25">
      <c r="A109" t="s">
        <v>421</v>
      </c>
      <c r="B109">
        <v>4</v>
      </c>
    </row>
    <row r="110" spans="1:2" x14ac:dyDescent="0.25">
      <c r="A110" t="s">
        <v>426</v>
      </c>
      <c r="B110">
        <v>4</v>
      </c>
    </row>
    <row r="111" spans="1:2" x14ac:dyDescent="0.25">
      <c r="A111" t="s">
        <v>430</v>
      </c>
      <c r="B111">
        <v>4</v>
      </c>
    </row>
    <row r="112" spans="1:2" x14ac:dyDescent="0.25">
      <c r="A112" t="s">
        <v>435</v>
      </c>
      <c r="B112">
        <v>4</v>
      </c>
    </row>
    <row r="113" spans="1:2" x14ac:dyDescent="0.25">
      <c r="A113" t="s">
        <v>441</v>
      </c>
      <c r="B113">
        <v>4</v>
      </c>
    </row>
    <row r="114" spans="1:2" x14ac:dyDescent="0.25">
      <c r="A114" t="s">
        <v>446</v>
      </c>
      <c r="B114">
        <v>4</v>
      </c>
    </row>
    <row r="115" spans="1:2" x14ac:dyDescent="0.25">
      <c r="A115" t="s">
        <v>451</v>
      </c>
      <c r="B115">
        <v>2</v>
      </c>
    </row>
    <row r="116" spans="1:2" x14ac:dyDescent="0.25">
      <c r="A116" t="s">
        <v>454</v>
      </c>
      <c r="B116">
        <v>4</v>
      </c>
    </row>
    <row r="117" spans="1:2" x14ac:dyDescent="0.25">
      <c r="A117" t="s">
        <v>459</v>
      </c>
      <c r="B117">
        <v>4</v>
      </c>
    </row>
    <row r="118" spans="1:2" x14ac:dyDescent="0.25">
      <c r="A118" t="s">
        <v>464</v>
      </c>
      <c r="B118">
        <v>4</v>
      </c>
    </row>
    <row r="119" spans="1:2" x14ac:dyDescent="0.25">
      <c r="A119" t="s">
        <v>469</v>
      </c>
      <c r="B119">
        <v>4</v>
      </c>
    </row>
    <row r="120" spans="1:2" x14ac:dyDescent="0.25">
      <c r="A120" t="s">
        <v>474</v>
      </c>
      <c r="B120">
        <v>4</v>
      </c>
    </row>
    <row r="121" spans="1:2" x14ac:dyDescent="0.25">
      <c r="A121" t="s">
        <v>479</v>
      </c>
      <c r="B121">
        <v>4</v>
      </c>
    </row>
    <row r="122" spans="1:2" x14ac:dyDescent="0.25">
      <c r="A122" t="s">
        <v>484</v>
      </c>
      <c r="B122">
        <v>4</v>
      </c>
    </row>
    <row r="123" spans="1:2" x14ac:dyDescent="0.25">
      <c r="A123" t="s">
        <v>489</v>
      </c>
      <c r="B123">
        <v>4</v>
      </c>
    </row>
    <row r="124" spans="1:2" x14ac:dyDescent="0.25">
      <c r="A124" t="s">
        <v>495</v>
      </c>
      <c r="B124">
        <v>4</v>
      </c>
    </row>
    <row r="125" spans="1:2" x14ac:dyDescent="0.25">
      <c r="A125" t="s">
        <v>500</v>
      </c>
      <c r="B125">
        <v>4</v>
      </c>
    </row>
    <row r="126" spans="1:2" x14ac:dyDescent="0.25">
      <c r="A126" t="s">
        <v>505</v>
      </c>
      <c r="B126">
        <v>4</v>
      </c>
    </row>
    <row r="127" spans="1:2" x14ac:dyDescent="0.25">
      <c r="A127" t="s">
        <v>510</v>
      </c>
      <c r="B127">
        <v>4</v>
      </c>
    </row>
    <row r="128" spans="1:2" x14ac:dyDescent="0.25">
      <c r="A128" t="s">
        <v>515</v>
      </c>
      <c r="B128">
        <v>4</v>
      </c>
    </row>
    <row r="129" spans="1:2" x14ac:dyDescent="0.25">
      <c r="A129" t="s">
        <v>521</v>
      </c>
      <c r="B129">
        <v>4</v>
      </c>
    </row>
    <row r="130" spans="1:2" x14ac:dyDescent="0.25">
      <c r="A130" t="s">
        <v>527</v>
      </c>
      <c r="B130">
        <v>3</v>
      </c>
    </row>
    <row r="131" spans="1:2" x14ac:dyDescent="0.25">
      <c r="A131" t="s">
        <v>531</v>
      </c>
      <c r="B131">
        <v>4</v>
      </c>
    </row>
    <row r="132" spans="1:2" x14ac:dyDescent="0.25">
      <c r="A132" t="s">
        <v>535</v>
      </c>
      <c r="B132">
        <v>4</v>
      </c>
    </row>
    <row r="133" spans="1:2" x14ac:dyDescent="0.25">
      <c r="A133" t="s">
        <v>540</v>
      </c>
      <c r="B133">
        <v>4</v>
      </c>
    </row>
    <row r="134" spans="1:2" x14ac:dyDescent="0.25">
      <c r="A134" t="s">
        <v>545</v>
      </c>
      <c r="B134">
        <v>4</v>
      </c>
    </row>
    <row r="135" spans="1:2" x14ac:dyDescent="0.25">
      <c r="A135" t="s">
        <v>551</v>
      </c>
      <c r="B135">
        <v>4</v>
      </c>
    </row>
    <row r="136" spans="1:2" x14ac:dyDescent="0.25">
      <c r="A136" t="s">
        <v>556</v>
      </c>
      <c r="B136">
        <v>4</v>
      </c>
    </row>
    <row r="137" spans="1:2" x14ac:dyDescent="0.25">
      <c r="A137" t="s">
        <v>560</v>
      </c>
      <c r="B137">
        <v>4</v>
      </c>
    </row>
    <row r="138" spans="1:2" x14ac:dyDescent="0.25">
      <c r="A138" t="s">
        <v>565</v>
      </c>
      <c r="B138">
        <v>4</v>
      </c>
    </row>
    <row r="139" spans="1:2" x14ac:dyDescent="0.25">
      <c r="A139" t="s">
        <v>571</v>
      </c>
      <c r="B139">
        <v>4</v>
      </c>
    </row>
    <row r="140" spans="1:2" x14ac:dyDescent="0.25">
      <c r="A140" t="s">
        <v>576</v>
      </c>
      <c r="B140">
        <v>4</v>
      </c>
    </row>
    <row r="141" spans="1:2" x14ac:dyDescent="0.25">
      <c r="A141" t="s">
        <v>580</v>
      </c>
      <c r="B141">
        <v>4</v>
      </c>
    </row>
  </sheetData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C0CF-285D-4A3C-9CC2-4A2D82995DFC}">
  <dimension ref="A1"/>
  <sheetViews>
    <sheetView workbookViewId="0"/>
  </sheetViews>
  <sheetFormatPr defaultRowHeight="14.4" x14ac:dyDescent="0.25"/>
  <sheetData/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AFC5-AACC-4F9C-8121-B993B5C476CC}">
  <dimension ref="A1:A11"/>
  <sheetViews>
    <sheetView workbookViewId="0">
      <selection sqref="A1:A11"/>
    </sheetView>
  </sheetViews>
  <sheetFormatPr defaultRowHeight="14.4" x14ac:dyDescent="0.25"/>
  <sheetData>
    <row r="1" spans="1:1" ht="15.6" x14ac:dyDescent="0.25">
      <c r="A1" s="158" t="s">
        <v>592</v>
      </c>
    </row>
    <row r="2" spans="1:1" x14ac:dyDescent="0.25">
      <c r="A2" s="1" t="s">
        <v>3393</v>
      </c>
    </row>
    <row r="3" spans="1:1" x14ac:dyDescent="0.25">
      <c r="A3" s="1" t="s">
        <v>593</v>
      </c>
    </row>
    <row r="4" spans="1:1" x14ac:dyDescent="0.25">
      <c r="A4" s="1" t="s">
        <v>111</v>
      </c>
    </row>
    <row r="5" spans="1:1" x14ac:dyDescent="0.25">
      <c r="A5" s="1" t="s">
        <v>594</v>
      </c>
    </row>
    <row r="6" spans="1:1" x14ac:dyDescent="0.25">
      <c r="A6" s="1" t="s">
        <v>596</v>
      </c>
    </row>
    <row r="7" spans="1:1" x14ac:dyDescent="0.25">
      <c r="A7" s="1" t="s">
        <v>587</v>
      </c>
    </row>
    <row r="8" spans="1:1" x14ac:dyDescent="0.25">
      <c r="A8" s="1" t="s">
        <v>590</v>
      </c>
    </row>
    <row r="9" spans="1:1" x14ac:dyDescent="0.25">
      <c r="A9" s="1" t="s">
        <v>595</v>
      </c>
    </row>
    <row r="10" spans="1:1" x14ac:dyDescent="0.25">
      <c r="A10" s="1" t="s">
        <v>597</v>
      </c>
    </row>
    <row r="11" spans="1:1" x14ac:dyDescent="0.25">
      <c r="A11" s="1" t="s">
        <v>361</v>
      </c>
    </row>
  </sheetData>
  <phoneticPr fontId="2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65E9-0DFC-4AFB-A254-8DA4F1E3B8E1}">
  <dimension ref="A1:A9"/>
  <sheetViews>
    <sheetView workbookViewId="0">
      <selection sqref="A1:A1048576"/>
    </sheetView>
  </sheetViews>
  <sheetFormatPr defaultRowHeight="14.4" x14ac:dyDescent="0.25"/>
  <cols>
    <col min="1" max="1" width="11.6640625" bestFit="1" customWidth="1"/>
  </cols>
  <sheetData>
    <row r="1" spans="1:1" x14ac:dyDescent="0.25">
      <c r="A1" s="162" t="s">
        <v>7</v>
      </c>
    </row>
    <row r="3" spans="1:1" x14ac:dyDescent="0.25">
      <c r="A3" t="s">
        <v>64</v>
      </c>
    </row>
    <row r="4" spans="1:1" x14ac:dyDescent="0.25">
      <c r="A4" t="s">
        <v>16</v>
      </c>
    </row>
    <row r="5" spans="1:1" x14ac:dyDescent="0.25">
      <c r="A5" t="s">
        <v>308</v>
      </c>
    </row>
    <row r="6" spans="1:1" x14ac:dyDescent="0.25">
      <c r="A6" t="s">
        <v>280</v>
      </c>
    </row>
    <row r="7" spans="1:1" x14ac:dyDescent="0.25">
      <c r="A7" t="s">
        <v>333</v>
      </c>
    </row>
    <row r="8" spans="1:1" x14ac:dyDescent="0.25">
      <c r="A8" t="s">
        <v>114</v>
      </c>
    </row>
    <row r="9" spans="1:1" x14ac:dyDescent="0.25">
      <c r="A9" t="s">
        <v>85</v>
      </c>
    </row>
  </sheetData>
  <phoneticPr fontId="2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BA406"/>
  <sheetViews>
    <sheetView workbookViewId="0">
      <pane ySplit="2" topLeftCell="A395" activePane="bottomLeft" state="frozen"/>
      <selection pane="bottomLeft" activeCell="F409" sqref="F409"/>
    </sheetView>
  </sheetViews>
  <sheetFormatPr defaultColWidth="9" defaultRowHeight="14.4" x14ac:dyDescent="0.25"/>
  <cols>
    <col min="1" max="1" width="7.77734375" style="1" customWidth="1"/>
    <col min="2" max="2" width="10.77734375" style="4" customWidth="1"/>
    <col min="3" max="3" width="13.33203125" style="4" customWidth="1"/>
    <col min="4" max="5" width="15.33203125" style="1" customWidth="1"/>
    <col min="6" max="6" width="10.77734375" style="1" customWidth="1"/>
    <col min="7" max="7" width="13.88671875" style="1" customWidth="1"/>
    <col min="8" max="8" width="14" style="1" customWidth="1"/>
    <col min="9" max="9" width="17.109375" style="5" customWidth="1"/>
    <col min="10" max="10" width="16.21875" style="6" customWidth="1"/>
    <col min="11" max="11" width="20" style="4" customWidth="1"/>
    <col min="12" max="12" width="20" style="1" customWidth="1"/>
    <col min="13" max="13" width="29.109375" style="1" customWidth="1"/>
    <col min="14" max="16277" width="9" style="1"/>
  </cols>
  <sheetData>
    <row r="1" spans="1:13" s="1" customFormat="1" ht="30" customHeight="1" x14ac:dyDescent="0.25">
      <c r="A1" s="211" t="s">
        <v>0</v>
      </c>
      <c r="B1" s="212"/>
      <c r="C1" s="212"/>
      <c r="D1" s="212"/>
      <c r="E1" s="212"/>
      <c r="F1" s="212"/>
      <c r="G1" s="212"/>
      <c r="H1" s="212"/>
      <c r="I1" s="213"/>
      <c r="J1" s="214"/>
      <c r="K1" s="212"/>
      <c r="L1" s="215"/>
      <c r="M1" s="215"/>
    </row>
    <row r="2" spans="1:13" s="2" customFormat="1" ht="31.95" customHeight="1" x14ac:dyDescent="0.25">
      <c r="A2" s="7" t="s">
        <v>1</v>
      </c>
      <c r="B2" s="7" t="s">
        <v>2</v>
      </c>
      <c r="C2" s="8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9" t="s">
        <v>9</v>
      </c>
      <c r="J2" s="10" t="s">
        <v>10</v>
      </c>
      <c r="K2" s="10" t="s">
        <v>10</v>
      </c>
      <c r="L2" s="7" t="s">
        <v>11</v>
      </c>
      <c r="M2" s="7" t="s">
        <v>12</v>
      </c>
    </row>
    <row r="3" spans="1:13" s="1" customFormat="1" ht="30" customHeight="1" x14ac:dyDescent="0.25">
      <c r="A3" s="206">
        <v>1</v>
      </c>
      <c r="B3" s="202" t="s">
        <v>13</v>
      </c>
      <c r="C3" s="193">
        <v>0</v>
      </c>
      <c r="D3" s="189">
        <f>COUNTA(E3:E4)</f>
        <v>2</v>
      </c>
      <c r="E3" s="15" t="s">
        <v>14</v>
      </c>
      <c r="F3" s="15" t="s">
        <v>15</v>
      </c>
      <c r="G3" s="16" t="s">
        <v>16</v>
      </c>
      <c r="H3" s="16" t="s">
        <v>17</v>
      </c>
      <c r="I3" s="17">
        <v>44263</v>
      </c>
      <c r="J3" s="18">
        <f>C3/D3</f>
        <v>0</v>
      </c>
      <c r="K3" s="13"/>
      <c r="L3" s="11"/>
      <c r="M3" s="11"/>
    </row>
    <row r="4" spans="1:13" s="1" customFormat="1" ht="30" customHeight="1" x14ac:dyDescent="0.25">
      <c r="A4" s="206"/>
      <c r="B4" s="202"/>
      <c r="C4" s="193"/>
      <c r="D4" s="192"/>
      <c r="E4" s="19" t="s">
        <v>18</v>
      </c>
      <c r="F4" s="19" t="s">
        <v>19</v>
      </c>
      <c r="G4" s="16" t="s">
        <v>16</v>
      </c>
      <c r="H4" s="16" t="s">
        <v>17</v>
      </c>
      <c r="I4" s="17">
        <v>44652</v>
      </c>
      <c r="J4" s="18">
        <f>C3/D3</f>
        <v>0</v>
      </c>
      <c r="K4" s="13"/>
      <c r="L4" s="11"/>
      <c r="M4" s="11"/>
    </row>
    <row r="5" spans="1:13" s="1" customFormat="1" ht="30" customHeight="1" x14ac:dyDescent="0.25">
      <c r="A5" s="206">
        <v>2</v>
      </c>
      <c r="B5" s="202" t="s">
        <v>20</v>
      </c>
      <c r="C5" s="193">
        <v>125</v>
      </c>
      <c r="D5" s="189">
        <f>COUNTA(E5:E6)</f>
        <v>2</v>
      </c>
      <c r="E5" s="20" t="s">
        <v>21</v>
      </c>
      <c r="F5" s="19" t="s">
        <v>19</v>
      </c>
      <c r="G5" s="21" t="s">
        <v>16</v>
      </c>
      <c r="H5" s="19" t="s">
        <v>22</v>
      </c>
      <c r="I5" s="22">
        <v>45908</v>
      </c>
      <c r="J5" s="18">
        <f>C5/D5</f>
        <v>62.5</v>
      </c>
      <c r="K5" s="13">
        <f>TRUNC(J5)</f>
        <v>62</v>
      </c>
      <c r="L5" s="23"/>
      <c r="M5" s="11"/>
    </row>
    <row r="6" spans="1:13" s="1" customFormat="1" ht="30" customHeight="1" x14ac:dyDescent="0.25">
      <c r="A6" s="206"/>
      <c r="B6" s="202"/>
      <c r="C6" s="193"/>
      <c r="D6" s="192"/>
      <c r="E6" s="24" t="s">
        <v>23</v>
      </c>
      <c r="F6" s="15" t="s">
        <v>15</v>
      </c>
      <c r="G6" s="16" t="s">
        <v>16</v>
      </c>
      <c r="H6" s="15" t="s">
        <v>22</v>
      </c>
      <c r="I6" s="25">
        <v>45908</v>
      </c>
      <c r="J6" s="18">
        <f>C5/D5</f>
        <v>62.5</v>
      </c>
      <c r="K6" s="13">
        <f>TRUNC(J6)</f>
        <v>62</v>
      </c>
      <c r="L6" s="11"/>
      <c r="M6" s="11"/>
    </row>
    <row r="7" spans="1:13" s="1" customFormat="1" ht="30" customHeight="1" x14ac:dyDescent="0.25">
      <c r="A7" s="206">
        <v>3</v>
      </c>
      <c r="B7" s="202" t="s">
        <v>24</v>
      </c>
      <c r="C7" s="193">
        <v>0</v>
      </c>
      <c r="D7" s="189">
        <f>COUNTA(E7:E8)</f>
        <v>2</v>
      </c>
      <c r="E7" s="11" t="s">
        <v>25</v>
      </c>
      <c r="F7" s="19" t="s">
        <v>15</v>
      </c>
      <c r="G7" s="21" t="s">
        <v>16</v>
      </c>
      <c r="H7" s="21" t="s">
        <v>22</v>
      </c>
      <c r="I7" s="26">
        <v>45615</v>
      </c>
      <c r="J7" s="18">
        <f>C7/D7</f>
        <v>0</v>
      </c>
      <c r="K7" s="13"/>
      <c r="L7" s="27"/>
      <c r="M7" s="11"/>
    </row>
    <row r="8" spans="1:13" s="1" customFormat="1" ht="30" customHeight="1" x14ac:dyDescent="0.25">
      <c r="A8" s="206"/>
      <c r="B8" s="202"/>
      <c r="C8" s="193"/>
      <c r="D8" s="192"/>
      <c r="E8" s="21" t="s">
        <v>26</v>
      </c>
      <c r="F8" s="28" t="s">
        <v>19</v>
      </c>
      <c r="G8" s="21" t="s">
        <v>27</v>
      </c>
      <c r="H8" s="19" t="s">
        <v>28</v>
      </c>
      <c r="I8" s="26">
        <v>45615</v>
      </c>
      <c r="J8" s="18">
        <f>C7/D7</f>
        <v>0</v>
      </c>
      <c r="K8" s="13"/>
      <c r="L8" s="29"/>
      <c r="M8" s="29"/>
    </row>
    <row r="9" spans="1:13" s="1" customFormat="1" ht="30" customHeight="1" x14ac:dyDescent="0.25">
      <c r="A9" s="206">
        <v>4</v>
      </c>
      <c r="B9" s="202" t="s">
        <v>29</v>
      </c>
      <c r="C9" s="193">
        <v>0</v>
      </c>
      <c r="D9" s="191">
        <f>COUNTA(E9:E10)</f>
        <v>2</v>
      </c>
      <c r="E9" s="30" t="s">
        <v>30</v>
      </c>
      <c r="F9" s="15" t="s">
        <v>19</v>
      </c>
      <c r="G9" s="31" t="s">
        <v>16</v>
      </c>
      <c r="H9" s="15" t="s">
        <v>17</v>
      </c>
      <c r="I9" s="32">
        <v>46183</v>
      </c>
      <c r="J9" s="18">
        <f>C9/D9</f>
        <v>0</v>
      </c>
      <c r="K9" s="13"/>
      <c r="L9" s="11"/>
      <c r="M9" s="11"/>
    </row>
    <row r="10" spans="1:13" s="1" customFormat="1" ht="30" customHeight="1" x14ac:dyDescent="0.25">
      <c r="A10" s="206"/>
      <c r="B10" s="202"/>
      <c r="C10" s="193"/>
      <c r="D10" s="191"/>
      <c r="E10" s="33" t="s">
        <v>31</v>
      </c>
      <c r="F10" s="15" t="s">
        <v>15</v>
      </c>
      <c r="G10" s="16" t="s">
        <v>16</v>
      </c>
      <c r="H10" s="15" t="s">
        <v>17</v>
      </c>
      <c r="I10" s="32">
        <v>46183</v>
      </c>
      <c r="J10" s="18">
        <f>C9/D9</f>
        <v>0</v>
      </c>
      <c r="K10" s="13"/>
      <c r="L10" s="11"/>
      <c r="M10" s="11"/>
    </row>
    <row r="11" spans="1:13" s="1" customFormat="1" ht="30" customHeight="1" x14ac:dyDescent="0.25">
      <c r="A11" s="206">
        <v>5</v>
      </c>
      <c r="B11" s="202" t="s">
        <v>32</v>
      </c>
      <c r="C11" s="193">
        <v>239</v>
      </c>
      <c r="D11" s="189">
        <f>COUNTA(E11:E12)</f>
        <v>2</v>
      </c>
      <c r="E11" s="28" t="s">
        <v>33</v>
      </c>
      <c r="F11" s="28" t="s">
        <v>19</v>
      </c>
      <c r="G11" s="21" t="s">
        <v>16</v>
      </c>
      <c r="H11" s="28" t="s">
        <v>34</v>
      </c>
      <c r="I11" s="26">
        <v>45280</v>
      </c>
      <c r="J11" s="18">
        <f>C11/D11</f>
        <v>119.5</v>
      </c>
      <c r="K11" s="13">
        <f>TRUNC(J11)</f>
        <v>119</v>
      </c>
      <c r="L11" s="21"/>
      <c r="M11" s="11"/>
    </row>
    <row r="12" spans="1:13" s="1" customFormat="1" ht="30" customHeight="1" x14ac:dyDescent="0.25">
      <c r="A12" s="206"/>
      <c r="B12" s="202"/>
      <c r="C12" s="193"/>
      <c r="D12" s="192"/>
      <c r="E12" s="28" t="s">
        <v>35</v>
      </c>
      <c r="F12" s="28" t="s">
        <v>15</v>
      </c>
      <c r="G12" s="21" t="s">
        <v>16</v>
      </c>
      <c r="H12" s="28" t="s">
        <v>34</v>
      </c>
      <c r="I12" s="26">
        <v>45280</v>
      </c>
      <c r="J12" s="18">
        <f>C11/D11</f>
        <v>119.5</v>
      </c>
      <c r="K12" s="13">
        <f>TRUNC(J12)</f>
        <v>119</v>
      </c>
      <c r="L12" s="21"/>
      <c r="M12" s="11"/>
    </row>
    <row r="13" spans="1:13" s="1" customFormat="1" ht="30" customHeight="1" x14ac:dyDescent="0.25">
      <c r="A13" s="206">
        <v>6</v>
      </c>
      <c r="B13" s="202" t="s">
        <v>36</v>
      </c>
      <c r="C13" s="193">
        <v>33</v>
      </c>
      <c r="D13" s="189">
        <f>COUNTA(E13:E14)</f>
        <v>2</v>
      </c>
      <c r="E13" s="15" t="s">
        <v>37</v>
      </c>
      <c r="F13" s="15" t="s">
        <v>15</v>
      </c>
      <c r="G13" s="16" t="s">
        <v>16</v>
      </c>
      <c r="H13" s="15" t="s">
        <v>38</v>
      </c>
      <c r="I13" s="17">
        <v>43263</v>
      </c>
      <c r="J13" s="18">
        <f>C13/D13</f>
        <v>16.5</v>
      </c>
      <c r="K13" s="13">
        <f>TRUNC(J13)</f>
        <v>16</v>
      </c>
      <c r="L13" s="11"/>
      <c r="M13" s="11"/>
    </row>
    <row r="14" spans="1:13" s="1" customFormat="1" ht="30" customHeight="1" x14ac:dyDescent="0.25">
      <c r="A14" s="206"/>
      <c r="B14" s="202"/>
      <c r="C14" s="193"/>
      <c r="D14" s="192"/>
      <c r="E14" s="15" t="s">
        <v>39</v>
      </c>
      <c r="F14" s="19" t="s">
        <v>19</v>
      </c>
      <c r="G14" s="16" t="s">
        <v>16</v>
      </c>
      <c r="H14" s="15" t="s">
        <v>38</v>
      </c>
      <c r="I14" s="17">
        <v>43263</v>
      </c>
      <c r="J14" s="18">
        <f>C13/D13</f>
        <v>16.5</v>
      </c>
      <c r="K14" s="13">
        <f>TRUNC(J14)</f>
        <v>16</v>
      </c>
      <c r="L14" s="11"/>
      <c r="M14" s="11"/>
    </row>
    <row r="15" spans="1:13" s="1" customFormat="1" ht="30" customHeight="1" x14ac:dyDescent="0.25">
      <c r="A15" s="206">
        <v>7</v>
      </c>
      <c r="B15" s="202" t="s">
        <v>40</v>
      </c>
      <c r="C15" s="193">
        <v>0</v>
      </c>
      <c r="D15" s="189">
        <f>COUNTA(E15:E16)</f>
        <v>2</v>
      </c>
      <c r="E15" s="15" t="s">
        <v>41</v>
      </c>
      <c r="F15" s="15" t="s">
        <v>15</v>
      </c>
      <c r="G15" s="16" t="s">
        <v>16</v>
      </c>
      <c r="H15" s="15" t="s">
        <v>38</v>
      </c>
      <c r="I15" s="17">
        <v>43260</v>
      </c>
      <c r="J15" s="18">
        <f>C15/D15</f>
        <v>0</v>
      </c>
      <c r="K15" s="13"/>
      <c r="L15" s="11"/>
      <c r="M15" s="11"/>
    </row>
    <row r="16" spans="1:13" s="1" customFormat="1" ht="30" customHeight="1" x14ac:dyDescent="0.25">
      <c r="A16" s="206"/>
      <c r="B16" s="202"/>
      <c r="C16" s="193"/>
      <c r="D16" s="192"/>
      <c r="E16" s="15" t="s">
        <v>42</v>
      </c>
      <c r="F16" s="19" t="s">
        <v>19</v>
      </c>
      <c r="G16" s="16" t="s">
        <v>16</v>
      </c>
      <c r="H16" s="15" t="s">
        <v>38</v>
      </c>
      <c r="I16" s="17">
        <v>43260</v>
      </c>
      <c r="J16" s="18">
        <f>C15/D15</f>
        <v>0</v>
      </c>
      <c r="K16" s="13"/>
      <c r="L16" s="11"/>
      <c r="M16" s="11"/>
    </row>
    <row r="17" spans="1:13" s="1" customFormat="1" ht="30" customHeight="1" x14ac:dyDescent="0.25">
      <c r="A17" s="206">
        <v>8</v>
      </c>
      <c r="B17" s="202" t="s">
        <v>43</v>
      </c>
      <c r="C17" s="193">
        <v>0</v>
      </c>
      <c r="D17" s="189">
        <f>COUNTA(E17:E18)</f>
        <v>2</v>
      </c>
      <c r="E17" s="28" t="s">
        <v>44</v>
      </c>
      <c r="F17" s="19" t="s">
        <v>19</v>
      </c>
      <c r="G17" s="21" t="s">
        <v>16</v>
      </c>
      <c r="H17" s="19" t="s">
        <v>45</v>
      </c>
      <c r="I17" s="26">
        <v>46113</v>
      </c>
      <c r="J17" s="18">
        <f>C17/D17</f>
        <v>0</v>
      </c>
      <c r="K17" s="13"/>
      <c r="L17" s="34"/>
      <c r="M17" s="35"/>
    </row>
    <row r="18" spans="1:13" s="1" customFormat="1" ht="30" customHeight="1" x14ac:dyDescent="0.25">
      <c r="A18" s="206"/>
      <c r="B18" s="202"/>
      <c r="C18" s="193"/>
      <c r="D18" s="192"/>
      <c r="E18" s="28" t="s">
        <v>46</v>
      </c>
      <c r="F18" s="15" t="s">
        <v>15</v>
      </c>
      <c r="G18" s="21" t="s">
        <v>16</v>
      </c>
      <c r="H18" s="19" t="s">
        <v>45</v>
      </c>
      <c r="I18" s="26">
        <v>46113</v>
      </c>
      <c r="J18" s="18">
        <f>C17/D17</f>
        <v>0</v>
      </c>
      <c r="K18" s="13"/>
      <c r="L18" s="34"/>
      <c r="M18" s="11"/>
    </row>
    <row r="19" spans="1:13" s="1" customFormat="1" ht="30" customHeight="1" x14ac:dyDescent="0.25">
      <c r="A19" s="206">
        <v>9</v>
      </c>
      <c r="B19" s="202" t="s">
        <v>47</v>
      </c>
      <c r="C19" s="193">
        <v>72</v>
      </c>
      <c r="D19" s="189">
        <f>COUNTA(E19:E20)</f>
        <v>2</v>
      </c>
      <c r="E19" s="15" t="s">
        <v>48</v>
      </c>
      <c r="F19" s="15" t="s">
        <v>15</v>
      </c>
      <c r="G19" s="16" t="s">
        <v>16</v>
      </c>
      <c r="H19" s="15" t="s">
        <v>34</v>
      </c>
      <c r="I19" s="17">
        <v>44281</v>
      </c>
      <c r="J19" s="18">
        <f>C19/D19</f>
        <v>36</v>
      </c>
      <c r="K19" s="13">
        <f>TRUNC(J19)</f>
        <v>36</v>
      </c>
      <c r="L19" s="11"/>
      <c r="M19" s="11"/>
    </row>
    <row r="20" spans="1:13" s="1" customFormat="1" ht="30" customHeight="1" x14ac:dyDescent="0.25">
      <c r="A20" s="206"/>
      <c r="B20" s="202"/>
      <c r="C20" s="193"/>
      <c r="D20" s="192"/>
      <c r="E20" s="15" t="s">
        <v>49</v>
      </c>
      <c r="F20" s="19" t="s">
        <v>19</v>
      </c>
      <c r="G20" s="16" t="s">
        <v>16</v>
      </c>
      <c r="H20" s="15" t="s">
        <v>34</v>
      </c>
      <c r="I20" s="17">
        <v>44281</v>
      </c>
      <c r="J20" s="18">
        <f>C19/D19</f>
        <v>36</v>
      </c>
      <c r="K20" s="13">
        <f>TRUNC(J20)</f>
        <v>36</v>
      </c>
      <c r="L20" s="11"/>
      <c r="M20" s="11"/>
    </row>
    <row r="21" spans="1:13" s="1" customFormat="1" ht="30" customHeight="1" x14ac:dyDescent="0.25">
      <c r="A21" s="206">
        <v>10</v>
      </c>
      <c r="B21" s="202" t="s">
        <v>50</v>
      </c>
      <c r="C21" s="193">
        <v>0</v>
      </c>
      <c r="D21" s="189">
        <f>COUNTA(E21:E22)</f>
        <v>2</v>
      </c>
      <c r="E21" s="15" t="s">
        <v>51</v>
      </c>
      <c r="F21" s="19" t="s">
        <v>19</v>
      </c>
      <c r="G21" s="16" t="s">
        <v>16</v>
      </c>
      <c r="H21" s="15" t="s">
        <v>34</v>
      </c>
      <c r="I21" s="17">
        <v>44418</v>
      </c>
      <c r="J21" s="18">
        <f>C21/D21</f>
        <v>0</v>
      </c>
      <c r="K21" s="13"/>
      <c r="L21" s="11"/>
      <c r="M21" s="11"/>
    </row>
    <row r="22" spans="1:13" s="1" customFormat="1" ht="30" customHeight="1" x14ac:dyDescent="0.25">
      <c r="A22" s="206"/>
      <c r="B22" s="202"/>
      <c r="C22" s="193"/>
      <c r="D22" s="192"/>
      <c r="E22" s="15" t="s">
        <v>52</v>
      </c>
      <c r="F22" s="19" t="s">
        <v>15</v>
      </c>
      <c r="G22" s="16" t="s">
        <v>16</v>
      </c>
      <c r="H22" s="15" t="s">
        <v>34</v>
      </c>
      <c r="I22" s="17">
        <v>45080</v>
      </c>
      <c r="J22" s="18">
        <f>C21/D21</f>
        <v>0</v>
      </c>
      <c r="K22" s="13"/>
      <c r="L22" s="11"/>
      <c r="M22" s="11"/>
    </row>
    <row r="23" spans="1:13" s="1" customFormat="1" ht="30" customHeight="1" x14ac:dyDescent="0.25">
      <c r="A23" s="206">
        <v>11</v>
      </c>
      <c r="B23" s="202" t="s">
        <v>53</v>
      </c>
      <c r="C23" s="193">
        <v>0</v>
      </c>
      <c r="D23" s="189">
        <f>COUNTA(E23:E24)</f>
        <v>2</v>
      </c>
      <c r="E23" s="28" t="s">
        <v>54</v>
      </c>
      <c r="F23" s="28" t="s">
        <v>15</v>
      </c>
      <c r="G23" s="21" t="s">
        <v>16</v>
      </c>
      <c r="H23" s="28" t="s">
        <v>17</v>
      </c>
      <c r="I23" s="17"/>
      <c r="J23" s="18">
        <f>C23/D23</f>
        <v>0</v>
      </c>
      <c r="K23" s="13"/>
      <c r="L23" s="11"/>
      <c r="M23" s="11"/>
    </row>
    <row r="24" spans="1:13" s="1" customFormat="1" ht="30" customHeight="1" x14ac:dyDescent="0.25">
      <c r="A24" s="206"/>
      <c r="B24" s="202"/>
      <c r="C24" s="193"/>
      <c r="D24" s="192"/>
      <c r="E24" s="28" t="s">
        <v>55</v>
      </c>
      <c r="F24" s="28" t="s">
        <v>19</v>
      </c>
      <c r="G24" s="21" t="s">
        <v>16</v>
      </c>
      <c r="H24" s="28" t="s">
        <v>17</v>
      </c>
      <c r="I24" s="17"/>
      <c r="J24" s="18">
        <f>C23/D23</f>
        <v>0</v>
      </c>
      <c r="K24" s="13"/>
      <c r="L24" s="11"/>
      <c r="M24" s="11"/>
    </row>
    <row r="25" spans="1:13" s="1" customFormat="1" ht="30" customHeight="1" x14ac:dyDescent="0.25">
      <c r="A25" s="206">
        <v>12</v>
      </c>
      <c r="B25" s="202" t="s">
        <v>56</v>
      </c>
      <c r="C25" s="193">
        <v>0</v>
      </c>
      <c r="D25" s="189">
        <f>COUNTA(E25:E26)</f>
        <v>2</v>
      </c>
      <c r="E25" s="15" t="s">
        <v>57</v>
      </c>
      <c r="F25" s="28" t="s">
        <v>15</v>
      </c>
      <c r="G25" s="21" t="s">
        <v>16</v>
      </c>
      <c r="H25" s="28" t="s">
        <v>45</v>
      </c>
      <c r="I25" s="21"/>
      <c r="J25" s="18">
        <f>C25/D25</f>
        <v>0</v>
      </c>
      <c r="K25" s="13"/>
      <c r="L25" s="31"/>
      <c r="M25" s="11"/>
    </row>
    <row r="26" spans="1:13" s="1" customFormat="1" ht="30" customHeight="1" x14ac:dyDescent="0.25">
      <c r="A26" s="206"/>
      <c r="B26" s="202"/>
      <c r="C26" s="193"/>
      <c r="D26" s="192"/>
      <c r="E26" s="15" t="s">
        <v>58</v>
      </c>
      <c r="F26" s="28" t="s">
        <v>19</v>
      </c>
      <c r="G26" s="21" t="s">
        <v>16</v>
      </c>
      <c r="H26" s="28" t="s">
        <v>45</v>
      </c>
      <c r="I26" s="21"/>
      <c r="J26" s="18">
        <f>C25/D25</f>
        <v>0</v>
      </c>
      <c r="K26" s="13"/>
      <c r="L26" s="21"/>
      <c r="M26" s="11"/>
    </row>
    <row r="27" spans="1:13" s="1" customFormat="1" ht="30" customHeight="1" x14ac:dyDescent="0.25">
      <c r="A27" s="206">
        <v>13</v>
      </c>
      <c r="B27" s="202" t="s">
        <v>59</v>
      </c>
      <c r="C27" s="193">
        <v>0</v>
      </c>
      <c r="D27" s="189">
        <f>COUNTA(E27:E28)</f>
        <v>2</v>
      </c>
      <c r="E27" s="15" t="s">
        <v>60</v>
      </c>
      <c r="F27" s="15" t="s">
        <v>15</v>
      </c>
      <c r="G27" s="16" t="s">
        <v>16</v>
      </c>
      <c r="H27" s="15" t="s">
        <v>38</v>
      </c>
      <c r="I27" s="17">
        <v>42072</v>
      </c>
      <c r="J27" s="18">
        <f>C27/D27</f>
        <v>0</v>
      </c>
      <c r="K27" s="13"/>
      <c r="L27" s="11"/>
      <c r="M27" s="11"/>
    </row>
    <row r="28" spans="1:13" s="1" customFormat="1" ht="30" customHeight="1" x14ac:dyDescent="0.25">
      <c r="A28" s="206"/>
      <c r="B28" s="202"/>
      <c r="C28" s="193"/>
      <c r="D28" s="192"/>
      <c r="E28" s="15" t="s">
        <v>61</v>
      </c>
      <c r="F28" s="19" t="s">
        <v>19</v>
      </c>
      <c r="G28" s="16" t="s">
        <v>16</v>
      </c>
      <c r="H28" s="15" t="s">
        <v>38</v>
      </c>
      <c r="I28" s="17">
        <v>42072</v>
      </c>
      <c r="J28" s="18">
        <f>C27/D27</f>
        <v>0</v>
      </c>
      <c r="K28" s="13"/>
      <c r="L28" s="11"/>
      <c r="M28" s="11"/>
    </row>
    <row r="29" spans="1:13" s="1" customFormat="1" ht="30" customHeight="1" x14ac:dyDescent="0.25">
      <c r="A29" s="11">
        <v>14</v>
      </c>
      <c r="B29" s="203" t="s">
        <v>62</v>
      </c>
      <c r="C29" s="197">
        <v>0</v>
      </c>
      <c r="D29" s="194">
        <v>2</v>
      </c>
      <c r="E29" s="15" t="s">
        <v>63</v>
      </c>
      <c r="F29" s="28" t="s">
        <v>15</v>
      </c>
      <c r="G29" s="21" t="s">
        <v>64</v>
      </c>
      <c r="H29" s="15" t="s">
        <v>65</v>
      </c>
      <c r="I29" s="15"/>
      <c r="J29" s="18">
        <f>C29/D29</f>
        <v>0</v>
      </c>
      <c r="K29" s="13"/>
      <c r="L29" s="11"/>
      <c r="M29" s="11"/>
    </row>
    <row r="30" spans="1:13" s="1" customFormat="1" ht="30" customHeight="1" x14ac:dyDescent="0.25">
      <c r="A30" s="11"/>
      <c r="B30" s="205"/>
      <c r="C30" s="199"/>
      <c r="D30" s="195"/>
      <c r="E30" s="38" t="s">
        <v>66</v>
      </c>
      <c r="F30" s="19" t="s">
        <v>15</v>
      </c>
      <c r="G30" s="16" t="s">
        <v>16</v>
      </c>
      <c r="H30" s="21" t="s">
        <v>67</v>
      </c>
      <c r="I30" s="39">
        <v>45839</v>
      </c>
      <c r="J30" s="18">
        <f>C29/D29</f>
        <v>0</v>
      </c>
      <c r="K30" s="13"/>
      <c r="L30" s="11"/>
      <c r="M30" s="11" t="s">
        <v>68</v>
      </c>
    </row>
    <row r="31" spans="1:13" s="1" customFormat="1" ht="30" customHeight="1" x14ac:dyDescent="0.25">
      <c r="A31" s="206">
        <v>15</v>
      </c>
      <c r="B31" s="202" t="s">
        <v>69</v>
      </c>
      <c r="C31" s="193">
        <v>0</v>
      </c>
      <c r="D31" s="189">
        <f>COUNTA(E31:E32)</f>
        <v>2</v>
      </c>
      <c r="E31" s="40" t="s">
        <v>70</v>
      </c>
      <c r="F31" s="36" t="s">
        <v>19</v>
      </c>
      <c r="G31" s="41" t="s">
        <v>16</v>
      </c>
      <c r="H31" s="40" t="s">
        <v>71</v>
      </c>
      <c r="I31" s="26" t="s">
        <v>72</v>
      </c>
      <c r="J31" s="18">
        <f>C31/D31</f>
        <v>0</v>
      </c>
      <c r="K31" s="13"/>
      <c r="L31" s="11"/>
      <c r="M31" s="23"/>
    </row>
    <row r="32" spans="1:13" s="1" customFormat="1" ht="30" customHeight="1" x14ac:dyDescent="0.25">
      <c r="A32" s="206"/>
      <c r="B32" s="202"/>
      <c r="C32" s="193"/>
      <c r="D32" s="192"/>
      <c r="E32" s="21" t="s">
        <v>73</v>
      </c>
      <c r="F32" s="28" t="s">
        <v>15</v>
      </c>
      <c r="G32" s="20" t="s">
        <v>16</v>
      </c>
      <c r="H32" s="20" t="s">
        <v>74</v>
      </c>
      <c r="I32" s="26" t="s">
        <v>72</v>
      </c>
      <c r="J32" s="18">
        <f>C31/D31</f>
        <v>0</v>
      </c>
      <c r="K32" s="13"/>
      <c r="L32" s="11"/>
      <c r="M32" s="23"/>
    </row>
    <row r="33" spans="1:13" s="1" customFormat="1" ht="30" customHeight="1" x14ac:dyDescent="0.25">
      <c r="A33" s="11">
        <v>16</v>
      </c>
      <c r="B33" s="12" t="s">
        <v>75</v>
      </c>
      <c r="C33" s="13">
        <v>0</v>
      </c>
      <c r="D33" s="15">
        <f>COUNTA(E33)</f>
        <v>1</v>
      </c>
      <c r="E33" s="15" t="s">
        <v>76</v>
      </c>
      <c r="F33" s="19" t="s">
        <v>15</v>
      </c>
      <c r="G33" s="16" t="s">
        <v>64</v>
      </c>
      <c r="H33" s="15" t="s">
        <v>28</v>
      </c>
      <c r="I33" s="17">
        <v>43969</v>
      </c>
      <c r="J33" s="18">
        <f>C33/D33</f>
        <v>0</v>
      </c>
      <c r="K33" s="13"/>
      <c r="L33" s="11"/>
      <c r="M33" s="11"/>
    </row>
    <row r="34" spans="1:13" s="1" customFormat="1" ht="30" customHeight="1" x14ac:dyDescent="0.25">
      <c r="A34" s="11">
        <v>17</v>
      </c>
      <c r="B34" s="12" t="s">
        <v>77</v>
      </c>
      <c r="C34" s="13">
        <v>82</v>
      </c>
      <c r="D34" s="15">
        <f>COUNTA(E34)</f>
        <v>1</v>
      </c>
      <c r="E34" s="15" t="s">
        <v>78</v>
      </c>
      <c r="F34" s="15" t="s">
        <v>15</v>
      </c>
      <c r="G34" s="15" t="s">
        <v>64</v>
      </c>
      <c r="H34" s="16" t="s">
        <v>28</v>
      </c>
      <c r="I34" s="17">
        <v>38887</v>
      </c>
      <c r="J34" s="18">
        <f>C34/D34</f>
        <v>82</v>
      </c>
      <c r="K34" s="13">
        <f>TRUNC(J34)</f>
        <v>82</v>
      </c>
      <c r="L34" s="11"/>
      <c r="M34" s="11"/>
    </row>
    <row r="35" spans="1:13" s="1" customFormat="1" ht="30" customHeight="1" x14ac:dyDescent="0.25">
      <c r="A35" s="206">
        <v>18</v>
      </c>
      <c r="B35" s="202" t="s">
        <v>79</v>
      </c>
      <c r="C35" s="193">
        <v>111</v>
      </c>
      <c r="D35" s="189">
        <f>COUNTA(E35:E36)</f>
        <v>2</v>
      </c>
      <c r="E35" s="11" t="s">
        <v>80</v>
      </c>
      <c r="F35" s="19" t="s">
        <v>19</v>
      </c>
      <c r="G35" s="21" t="s">
        <v>16</v>
      </c>
      <c r="H35" s="28" t="s">
        <v>34</v>
      </c>
      <c r="I35" s="26">
        <v>45705</v>
      </c>
      <c r="J35" s="18">
        <f>C35/D35</f>
        <v>55.5</v>
      </c>
      <c r="K35" s="13">
        <f>TRUNC(J35)</f>
        <v>55</v>
      </c>
      <c r="L35" s="11"/>
      <c r="M35" s="11"/>
    </row>
    <row r="36" spans="1:13" s="1" customFormat="1" ht="30" customHeight="1" x14ac:dyDescent="0.25">
      <c r="A36" s="206"/>
      <c r="B36" s="202"/>
      <c r="C36" s="193"/>
      <c r="D36" s="192"/>
      <c r="E36" s="11" t="s">
        <v>81</v>
      </c>
      <c r="F36" s="28" t="s">
        <v>15</v>
      </c>
      <c r="G36" s="21" t="s">
        <v>16</v>
      </c>
      <c r="H36" s="28" t="s">
        <v>34</v>
      </c>
      <c r="I36" s="26">
        <v>45705</v>
      </c>
      <c r="J36" s="18">
        <f>C35/D35</f>
        <v>55.5</v>
      </c>
      <c r="K36" s="13">
        <f>TRUNC(J36)</f>
        <v>55</v>
      </c>
      <c r="L36" s="11"/>
      <c r="M36" s="11"/>
    </row>
    <row r="37" spans="1:13" s="1" customFormat="1" ht="30" customHeight="1" x14ac:dyDescent="0.25">
      <c r="A37" s="206">
        <v>19</v>
      </c>
      <c r="B37" s="202" t="s">
        <v>82</v>
      </c>
      <c r="C37" s="193">
        <v>84</v>
      </c>
      <c r="D37" s="181">
        <f>COUNTA(E37:E40)</f>
        <v>1</v>
      </c>
      <c r="E37" s="38" t="s">
        <v>66</v>
      </c>
      <c r="F37" s="19" t="s">
        <v>15</v>
      </c>
      <c r="G37" s="16" t="s">
        <v>16</v>
      </c>
      <c r="H37" s="21" t="s">
        <v>67</v>
      </c>
      <c r="I37" s="39">
        <v>45839</v>
      </c>
      <c r="J37" s="18"/>
      <c r="K37" s="13">
        <v>84</v>
      </c>
      <c r="L37" s="16"/>
      <c r="M37" s="11"/>
    </row>
    <row r="38" spans="1:13" s="1" customFormat="1" ht="30" customHeight="1" x14ac:dyDescent="0.25">
      <c r="A38" s="206"/>
      <c r="B38" s="202"/>
      <c r="C38" s="193"/>
      <c r="D38" s="196"/>
      <c r="E38" s="23"/>
      <c r="F38" s="43"/>
      <c r="G38" s="44"/>
      <c r="H38" s="43"/>
      <c r="I38" s="45"/>
      <c r="J38" s="18"/>
      <c r="K38" s="13"/>
      <c r="L38" s="23"/>
      <c r="M38" s="23"/>
    </row>
    <row r="39" spans="1:13" s="1" customFormat="1" ht="30" customHeight="1" x14ac:dyDescent="0.25">
      <c r="A39" s="206"/>
      <c r="B39" s="202"/>
      <c r="C39" s="193"/>
      <c r="D39" s="196"/>
      <c r="E39" s="43"/>
      <c r="F39" s="43"/>
      <c r="G39" s="44"/>
      <c r="H39" s="43"/>
      <c r="I39" s="46"/>
      <c r="J39" s="18"/>
      <c r="K39" s="13"/>
      <c r="L39" s="23"/>
      <c r="M39" s="11"/>
    </row>
    <row r="40" spans="1:13" s="1" customFormat="1" ht="30" customHeight="1" x14ac:dyDescent="0.25">
      <c r="A40" s="206"/>
      <c r="B40" s="202"/>
      <c r="C40" s="193"/>
      <c r="D40" s="182"/>
      <c r="E40" s="11"/>
      <c r="F40" s="11"/>
      <c r="G40" s="11"/>
      <c r="H40" s="11"/>
      <c r="I40" s="17"/>
      <c r="J40" s="18"/>
      <c r="K40" s="13"/>
      <c r="L40" s="23"/>
      <c r="M40" s="11"/>
    </row>
    <row r="41" spans="1:13" s="1" customFormat="1" ht="30" customHeight="1" x14ac:dyDescent="0.25">
      <c r="A41" s="206">
        <v>20</v>
      </c>
      <c r="B41" s="202" t="s">
        <v>83</v>
      </c>
      <c r="C41" s="193">
        <v>0</v>
      </c>
      <c r="D41" s="181">
        <f>COUNTA(E41:E44)</f>
        <v>2</v>
      </c>
      <c r="E41" s="48" t="s">
        <v>84</v>
      </c>
      <c r="F41" s="19" t="s">
        <v>15</v>
      </c>
      <c r="G41" s="49" t="s">
        <v>85</v>
      </c>
      <c r="H41" s="49" t="s">
        <v>86</v>
      </c>
      <c r="I41" s="17">
        <v>46204</v>
      </c>
      <c r="J41" s="18"/>
      <c r="K41" s="13"/>
      <c r="L41" s="11"/>
      <c r="M41" s="11"/>
    </row>
    <row r="42" spans="1:13" s="1" customFormat="1" ht="30" customHeight="1" x14ac:dyDescent="0.25">
      <c r="A42" s="206"/>
      <c r="B42" s="202"/>
      <c r="C42" s="193"/>
      <c r="D42" s="196"/>
      <c r="E42" s="50" t="s">
        <v>87</v>
      </c>
      <c r="F42" s="19" t="s">
        <v>15</v>
      </c>
      <c r="G42" s="49" t="s">
        <v>85</v>
      </c>
      <c r="H42" s="49" t="s">
        <v>86</v>
      </c>
      <c r="I42" s="51">
        <v>46204</v>
      </c>
      <c r="J42" s="18"/>
      <c r="K42" s="13"/>
      <c r="L42" s="11"/>
      <c r="M42" s="11"/>
    </row>
    <row r="43" spans="1:13" s="1" customFormat="1" ht="30" customHeight="1" x14ac:dyDescent="0.25">
      <c r="A43" s="206"/>
      <c r="B43" s="202"/>
      <c r="C43" s="193"/>
      <c r="D43" s="196"/>
      <c r="E43" s="29"/>
      <c r="F43" s="11"/>
      <c r="G43" s="49"/>
      <c r="H43" s="11"/>
      <c r="I43" s="17"/>
      <c r="J43" s="18"/>
      <c r="K43" s="13"/>
      <c r="L43" s="11"/>
      <c r="M43" s="11"/>
    </row>
    <row r="44" spans="1:13" s="1" customFormat="1" ht="30" customHeight="1" x14ac:dyDescent="0.25">
      <c r="A44" s="206"/>
      <c r="B44" s="202"/>
      <c r="C44" s="193"/>
      <c r="D44" s="182"/>
      <c r="E44" s="29"/>
      <c r="F44" s="11"/>
      <c r="G44" s="49"/>
      <c r="H44" s="11"/>
      <c r="I44" s="17"/>
      <c r="J44" s="18"/>
      <c r="K44" s="13"/>
      <c r="L44" s="11"/>
      <c r="M44" s="11"/>
    </row>
    <row r="45" spans="1:13" s="1" customFormat="1" ht="30" customHeight="1" x14ac:dyDescent="0.25">
      <c r="A45" s="206">
        <v>21</v>
      </c>
      <c r="B45" s="202" t="s">
        <v>88</v>
      </c>
      <c r="C45" s="193">
        <v>0</v>
      </c>
      <c r="D45" s="181">
        <f>COUNTA(E45:E48)</f>
        <v>1</v>
      </c>
      <c r="E45" s="38" t="s">
        <v>89</v>
      </c>
      <c r="F45" s="19" t="s">
        <v>15</v>
      </c>
      <c r="G45" s="49" t="s">
        <v>85</v>
      </c>
      <c r="H45" s="49" t="s">
        <v>86</v>
      </c>
      <c r="I45" s="51">
        <v>46204</v>
      </c>
      <c r="J45" s="18"/>
      <c r="K45" s="13"/>
      <c r="L45" s="11"/>
      <c r="M45" s="11"/>
    </row>
    <row r="46" spans="1:13" s="1" customFormat="1" ht="30" customHeight="1" x14ac:dyDescent="0.25">
      <c r="A46" s="206"/>
      <c r="B46" s="202"/>
      <c r="C46" s="193"/>
      <c r="D46" s="196"/>
      <c r="E46" s="52"/>
      <c r="F46" s="52"/>
      <c r="G46" s="11"/>
      <c r="H46" s="11"/>
      <c r="I46" s="17"/>
      <c r="J46" s="18"/>
      <c r="K46" s="13"/>
      <c r="L46" s="11"/>
      <c r="M46" s="11"/>
    </row>
    <row r="47" spans="1:13" s="1" customFormat="1" ht="30" customHeight="1" x14ac:dyDescent="0.25">
      <c r="A47" s="206"/>
      <c r="B47" s="202"/>
      <c r="C47" s="193"/>
      <c r="D47" s="196"/>
      <c r="E47" s="52"/>
      <c r="F47" s="52"/>
      <c r="G47" s="11"/>
      <c r="H47" s="11"/>
      <c r="I47" s="17"/>
      <c r="J47" s="18"/>
      <c r="K47" s="13"/>
      <c r="L47" s="11"/>
      <c r="M47" s="11"/>
    </row>
    <row r="48" spans="1:13" s="1" customFormat="1" ht="30" customHeight="1" x14ac:dyDescent="0.25">
      <c r="A48" s="206"/>
      <c r="B48" s="202"/>
      <c r="C48" s="193"/>
      <c r="D48" s="182"/>
      <c r="E48" s="52"/>
      <c r="F48" s="52"/>
      <c r="G48" s="11"/>
      <c r="H48" s="11"/>
      <c r="I48" s="17"/>
      <c r="J48" s="18"/>
      <c r="K48" s="13"/>
      <c r="L48" s="11"/>
      <c r="M48" s="11"/>
    </row>
    <row r="49" spans="1:13" s="1" customFormat="1" ht="30" customHeight="1" x14ac:dyDescent="0.25">
      <c r="A49" s="206">
        <v>22</v>
      </c>
      <c r="B49" s="202" t="s">
        <v>90</v>
      </c>
      <c r="C49" s="193">
        <v>258</v>
      </c>
      <c r="D49" s="189">
        <f>COUNTA(E49:E50)</f>
        <v>2</v>
      </c>
      <c r="E49" s="19" t="s">
        <v>91</v>
      </c>
      <c r="F49" s="19" t="s">
        <v>15</v>
      </c>
      <c r="G49" s="16" t="s">
        <v>92</v>
      </c>
      <c r="H49" s="19" t="s">
        <v>93</v>
      </c>
      <c r="I49" s="26">
        <v>45754</v>
      </c>
      <c r="J49" s="18">
        <f>C49/D49</f>
        <v>129</v>
      </c>
      <c r="K49" s="13">
        <f>TRUNC(J49)</f>
        <v>129</v>
      </c>
      <c r="L49" s="21"/>
      <c r="M49" s="11"/>
    </row>
    <row r="50" spans="1:13" s="1" customFormat="1" ht="30" customHeight="1" x14ac:dyDescent="0.25">
      <c r="A50" s="206"/>
      <c r="B50" s="202"/>
      <c r="C50" s="193"/>
      <c r="D50" s="192"/>
      <c r="E50" s="15" t="s">
        <v>94</v>
      </c>
      <c r="F50" s="19" t="s">
        <v>15</v>
      </c>
      <c r="G50" s="16" t="s">
        <v>92</v>
      </c>
      <c r="H50" s="19" t="s">
        <v>93</v>
      </c>
      <c r="I50" s="26">
        <v>45828</v>
      </c>
      <c r="J50" s="18">
        <f>C49/D49</f>
        <v>129</v>
      </c>
      <c r="K50" s="13">
        <f>TRUNC(J50)</f>
        <v>129</v>
      </c>
      <c r="L50" s="27"/>
      <c r="M50" s="23"/>
    </row>
    <row r="51" spans="1:13" s="1" customFormat="1" ht="30" customHeight="1" x14ac:dyDescent="0.25">
      <c r="A51" s="206">
        <v>23</v>
      </c>
      <c r="B51" s="202" t="s">
        <v>95</v>
      </c>
      <c r="C51" s="193">
        <v>24</v>
      </c>
      <c r="D51" s="189">
        <f>COUNTA(E51:E53)</f>
        <v>2</v>
      </c>
      <c r="E51" s="53"/>
      <c r="F51" s="43"/>
      <c r="G51" s="44"/>
      <c r="H51" s="43"/>
      <c r="I51" s="54"/>
      <c r="J51" s="18"/>
      <c r="K51" s="13"/>
      <c r="L51" s="23"/>
      <c r="M51" s="55"/>
    </row>
    <row r="52" spans="1:13" s="1" customFormat="1" ht="30" customHeight="1" x14ac:dyDescent="0.25">
      <c r="A52" s="206"/>
      <c r="B52" s="202"/>
      <c r="C52" s="193"/>
      <c r="D52" s="190"/>
      <c r="E52" s="56" t="s">
        <v>96</v>
      </c>
      <c r="F52" s="19" t="s">
        <v>15</v>
      </c>
      <c r="G52" s="16" t="s">
        <v>85</v>
      </c>
      <c r="H52" s="19" t="s">
        <v>86</v>
      </c>
      <c r="I52" s="17">
        <v>45292</v>
      </c>
      <c r="J52" s="18">
        <f>C51/D51</f>
        <v>12</v>
      </c>
      <c r="K52" s="13">
        <f t="shared" ref="K52:K57" si="0">TRUNC(J52)</f>
        <v>12</v>
      </c>
      <c r="L52" s="11"/>
      <c r="M52" s="55"/>
    </row>
    <row r="53" spans="1:13" s="1" customFormat="1" ht="30" customHeight="1" x14ac:dyDescent="0.25">
      <c r="A53" s="206"/>
      <c r="B53" s="202"/>
      <c r="C53" s="193"/>
      <c r="D53" s="192"/>
      <c r="E53" s="55" t="s">
        <v>97</v>
      </c>
      <c r="F53" s="19" t="s">
        <v>15</v>
      </c>
      <c r="G53" s="16" t="s">
        <v>85</v>
      </c>
      <c r="H53" s="19" t="s">
        <v>98</v>
      </c>
      <c r="I53" s="17"/>
      <c r="J53" s="18">
        <f>C51/D51</f>
        <v>12</v>
      </c>
      <c r="K53" s="13">
        <f t="shared" si="0"/>
        <v>12</v>
      </c>
      <c r="L53" s="11"/>
      <c r="M53" s="15"/>
    </row>
    <row r="54" spans="1:13" s="1" customFormat="1" ht="30" customHeight="1" x14ac:dyDescent="0.25">
      <c r="A54" s="206">
        <v>24</v>
      </c>
      <c r="B54" s="202" t="s">
        <v>99</v>
      </c>
      <c r="C54" s="193">
        <v>325</v>
      </c>
      <c r="D54" s="189">
        <f>COUNTA(E54:E55)</f>
        <v>2</v>
      </c>
      <c r="E54" s="57" t="s">
        <v>100</v>
      </c>
      <c r="F54" s="19" t="s">
        <v>15</v>
      </c>
      <c r="G54" s="16" t="s">
        <v>92</v>
      </c>
      <c r="H54" s="15" t="s">
        <v>28</v>
      </c>
      <c r="I54" s="17">
        <v>45292</v>
      </c>
      <c r="J54" s="18">
        <f>C54/D54</f>
        <v>162.5</v>
      </c>
      <c r="K54" s="13">
        <f t="shared" si="0"/>
        <v>162</v>
      </c>
      <c r="L54" s="11"/>
      <c r="M54" s="15"/>
    </row>
    <row r="55" spans="1:13" s="1" customFormat="1" ht="30" customHeight="1" x14ac:dyDescent="0.25">
      <c r="A55" s="206"/>
      <c r="B55" s="202"/>
      <c r="C55" s="193"/>
      <c r="D55" s="192"/>
      <c r="E55" s="58" t="s">
        <v>101</v>
      </c>
      <c r="F55" s="14" t="s">
        <v>15</v>
      </c>
      <c r="G55" s="59" t="s">
        <v>92</v>
      </c>
      <c r="H55" s="14" t="s">
        <v>102</v>
      </c>
      <c r="I55" s="17" t="s">
        <v>103</v>
      </c>
      <c r="J55" s="18">
        <f>C54/D54</f>
        <v>162.5</v>
      </c>
      <c r="K55" s="13">
        <f t="shared" si="0"/>
        <v>162</v>
      </c>
      <c r="L55" s="11"/>
      <c r="M55" s="15"/>
    </row>
    <row r="56" spans="1:13" s="1" customFormat="1" ht="30" customHeight="1" x14ac:dyDescent="0.25">
      <c r="A56" s="206">
        <v>25</v>
      </c>
      <c r="B56" s="202" t="s">
        <v>104</v>
      </c>
      <c r="C56" s="193">
        <v>229</v>
      </c>
      <c r="D56" s="189">
        <f>COUNTA(E56:E57)</f>
        <v>2</v>
      </c>
      <c r="E56" s="19" t="s">
        <v>105</v>
      </c>
      <c r="F56" s="19" t="s">
        <v>15</v>
      </c>
      <c r="G56" s="16" t="s">
        <v>27</v>
      </c>
      <c r="H56" s="15" t="s">
        <v>28</v>
      </c>
      <c r="I56" s="17">
        <v>45292</v>
      </c>
      <c r="J56" s="18">
        <f>C56/D56</f>
        <v>114.5</v>
      </c>
      <c r="K56" s="13">
        <f t="shared" si="0"/>
        <v>114</v>
      </c>
      <c r="L56" s="11"/>
      <c r="M56" s="15"/>
    </row>
    <row r="57" spans="1:13" s="1" customFormat="1" ht="30" customHeight="1" x14ac:dyDescent="0.25">
      <c r="A57" s="206"/>
      <c r="B57" s="202"/>
      <c r="C57" s="193"/>
      <c r="D57" s="192"/>
      <c r="E57" s="11" t="s">
        <v>106</v>
      </c>
      <c r="F57" s="19" t="s">
        <v>15</v>
      </c>
      <c r="G57" s="16" t="s">
        <v>27</v>
      </c>
      <c r="H57" s="15" t="s">
        <v>28</v>
      </c>
      <c r="I57" s="39">
        <v>45583</v>
      </c>
      <c r="J57" s="18">
        <f>C56/D56</f>
        <v>114.5</v>
      </c>
      <c r="K57" s="13">
        <f t="shared" si="0"/>
        <v>114</v>
      </c>
      <c r="L57" s="11"/>
      <c r="M57" s="15"/>
    </row>
    <row r="58" spans="1:13" s="1" customFormat="1" ht="30" customHeight="1" x14ac:dyDescent="0.25">
      <c r="A58" s="206">
        <v>26</v>
      </c>
      <c r="B58" s="202" t="s">
        <v>107</v>
      </c>
      <c r="C58" s="193">
        <v>0</v>
      </c>
      <c r="D58" s="189">
        <f>COUNTA(E58:E59)</f>
        <v>2</v>
      </c>
      <c r="E58" s="29" t="s">
        <v>108</v>
      </c>
      <c r="F58" s="15" t="s">
        <v>15</v>
      </c>
      <c r="G58" s="31" t="s">
        <v>16</v>
      </c>
      <c r="H58" s="15" t="s">
        <v>34</v>
      </c>
      <c r="I58" s="39">
        <v>45544</v>
      </c>
      <c r="J58" s="18"/>
      <c r="K58" s="13"/>
      <c r="L58" s="11"/>
      <c r="M58" s="181" t="s">
        <v>109</v>
      </c>
    </row>
    <row r="59" spans="1:13" s="1" customFormat="1" ht="30" customHeight="1" x14ac:dyDescent="0.25">
      <c r="A59" s="206"/>
      <c r="B59" s="202"/>
      <c r="C59" s="193"/>
      <c r="D59" s="192"/>
      <c r="E59" s="19" t="s">
        <v>110</v>
      </c>
      <c r="F59" s="19" t="s">
        <v>19</v>
      </c>
      <c r="G59" s="16" t="s">
        <v>16</v>
      </c>
      <c r="H59" s="19" t="s">
        <v>111</v>
      </c>
      <c r="I59" s="39">
        <v>45696</v>
      </c>
      <c r="J59" s="18"/>
      <c r="K59" s="13"/>
      <c r="L59" s="11"/>
      <c r="M59" s="182"/>
    </row>
    <row r="60" spans="1:13" s="1" customFormat="1" ht="30" customHeight="1" x14ac:dyDescent="0.25">
      <c r="A60" s="207">
        <v>27</v>
      </c>
      <c r="B60" s="203" t="s">
        <v>112</v>
      </c>
      <c r="C60" s="197">
        <v>44</v>
      </c>
      <c r="D60" s="189">
        <f>COUNTA(E60:E61)</f>
        <v>2</v>
      </c>
      <c r="E60" s="15" t="s">
        <v>113</v>
      </c>
      <c r="F60" s="61" t="s">
        <v>15</v>
      </c>
      <c r="G60" s="16" t="s">
        <v>114</v>
      </c>
      <c r="H60" s="15" t="s">
        <v>28</v>
      </c>
      <c r="I60" s="17">
        <v>45292</v>
      </c>
      <c r="J60" s="18">
        <v>28</v>
      </c>
      <c r="K60" s="13">
        <f>TRUNC(J60)</f>
        <v>28</v>
      </c>
      <c r="L60" s="11"/>
      <c r="M60" s="15"/>
    </row>
    <row r="61" spans="1:13" s="1" customFormat="1" ht="30" customHeight="1" x14ac:dyDescent="0.25">
      <c r="A61" s="208"/>
      <c r="B61" s="204"/>
      <c r="C61" s="198"/>
      <c r="D61" s="190"/>
      <c r="E61" s="19" t="s">
        <v>115</v>
      </c>
      <c r="F61" s="19" t="s">
        <v>15</v>
      </c>
      <c r="G61" s="16" t="s">
        <v>16</v>
      </c>
      <c r="H61" s="19" t="s">
        <v>28</v>
      </c>
      <c r="I61" s="39">
        <v>46104</v>
      </c>
      <c r="J61" s="18">
        <v>44</v>
      </c>
      <c r="K61" s="13">
        <v>16</v>
      </c>
      <c r="L61" s="44"/>
      <c r="M61" s="15" t="s">
        <v>116</v>
      </c>
    </row>
    <row r="62" spans="1:13" s="1" customFormat="1" ht="30" customHeight="1" x14ac:dyDescent="0.25">
      <c r="A62" s="207">
        <v>28</v>
      </c>
      <c r="B62" s="203" t="s">
        <v>117</v>
      </c>
      <c r="C62" s="197">
        <v>192</v>
      </c>
      <c r="D62" s="189">
        <f>COUNTA(E62:E63)</f>
        <v>2</v>
      </c>
      <c r="E62" s="62" t="s">
        <v>118</v>
      </c>
      <c r="F62" s="63" t="s">
        <v>15</v>
      </c>
      <c r="G62" s="64" t="s">
        <v>16</v>
      </c>
      <c r="H62" s="65" t="s">
        <v>119</v>
      </c>
      <c r="I62" s="32">
        <v>46188</v>
      </c>
      <c r="J62" s="18">
        <v>25</v>
      </c>
      <c r="K62" s="13">
        <f>TRUNC(J62)</f>
        <v>25</v>
      </c>
      <c r="L62" s="11"/>
      <c r="M62" s="15" t="s">
        <v>120</v>
      </c>
    </row>
    <row r="63" spans="1:13" s="1" customFormat="1" ht="30" customHeight="1" x14ac:dyDescent="0.25">
      <c r="A63" s="208"/>
      <c r="B63" s="204"/>
      <c r="C63" s="198"/>
      <c r="D63" s="190"/>
      <c r="E63" s="63" t="s">
        <v>121</v>
      </c>
      <c r="F63" s="15" t="s">
        <v>15</v>
      </c>
      <c r="G63" s="21" t="s">
        <v>16</v>
      </c>
      <c r="H63" s="15" t="s">
        <v>71</v>
      </c>
      <c r="I63" s="26">
        <v>45838</v>
      </c>
      <c r="J63" s="18">
        <v>167</v>
      </c>
      <c r="K63" s="13">
        <f>TRUNC(J63)</f>
        <v>167</v>
      </c>
      <c r="L63" s="21"/>
      <c r="M63" s="15"/>
    </row>
    <row r="64" spans="1:13" s="1" customFormat="1" ht="30" customHeight="1" x14ac:dyDescent="0.25">
      <c r="A64" s="206">
        <v>29</v>
      </c>
      <c r="B64" s="202" t="s">
        <v>122</v>
      </c>
      <c r="C64" s="193">
        <v>63</v>
      </c>
      <c r="D64" s="189">
        <f>COUNTA(E64:E65)</f>
        <v>2</v>
      </c>
      <c r="E64" s="30" t="s">
        <v>123</v>
      </c>
      <c r="F64" s="15" t="s">
        <v>15</v>
      </c>
      <c r="G64" s="31" t="s">
        <v>85</v>
      </c>
      <c r="H64" s="15" t="s">
        <v>86</v>
      </c>
      <c r="I64" s="66">
        <v>46199</v>
      </c>
      <c r="J64" s="18">
        <v>4.0999999999999996</v>
      </c>
      <c r="K64" s="13">
        <f>TRUNC(J64)</f>
        <v>4</v>
      </c>
      <c r="L64" s="11"/>
      <c r="M64" s="15" t="s">
        <v>124</v>
      </c>
    </row>
    <row r="65" spans="1:13" s="1" customFormat="1" ht="30" customHeight="1" x14ac:dyDescent="0.25">
      <c r="A65" s="206"/>
      <c r="B65" s="202"/>
      <c r="C65" s="193"/>
      <c r="D65" s="192"/>
      <c r="E65" s="19" t="s">
        <v>125</v>
      </c>
      <c r="F65" s="19" t="s">
        <v>15</v>
      </c>
      <c r="G65" s="16" t="s">
        <v>27</v>
      </c>
      <c r="H65" s="15" t="s">
        <v>28</v>
      </c>
      <c r="I65" s="17">
        <v>45292</v>
      </c>
      <c r="J65" s="18">
        <v>58.9</v>
      </c>
      <c r="K65" s="13">
        <f t="shared" ref="K65:K79" si="1">TRUNC(J65)</f>
        <v>58</v>
      </c>
      <c r="L65" s="11"/>
      <c r="M65" s="63"/>
    </row>
    <row r="66" spans="1:13" s="1" customFormat="1" ht="30" customHeight="1" x14ac:dyDescent="0.25">
      <c r="A66" s="206">
        <v>30</v>
      </c>
      <c r="B66" s="202" t="s">
        <v>126</v>
      </c>
      <c r="C66" s="193">
        <v>36</v>
      </c>
      <c r="D66" s="189">
        <f>COUNTA(E66:E67)</f>
        <v>2</v>
      </c>
      <c r="E66" s="67" t="s">
        <v>127</v>
      </c>
      <c r="F66" s="68" t="s">
        <v>15</v>
      </c>
      <c r="G66" s="16" t="s">
        <v>16</v>
      </c>
      <c r="H66" s="67" t="s">
        <v>22</v>
      </c>
      <c r="I66" s="26">
        <v>45757</v>
      </c>
      <c r="J66" s="18">
        <f>C66/D66</f>
        <v>18</v>
      </c>
      <c r="K66" s="13">
        <f t="shared" si="1"/>
        <v>18</v>
      </c>
      <c r="L66" s="11"/>
      <c r="M66" s="183" t="s">
        <v>109</v>
      </c>
    </row>
    <row r="67" spans="1:13" s="1" customFormat="1" ht="30" customHeight="1" x14ac:dyDescent="0.25">
      <c r="A67" s="206"/>
      <c r="B67" s="202"/>
      <c r="C67" s="193"/>
      <c r="D67" s="192"/>
      <c r="E67" s="67" t="s">
        <v>128</v>
      </c>
      <c r="F67" s="19" t="s">
        <v>19</v>
      </c>
      <c r="G67" s="21" t="s">
        <v>16</v>
      </c>
      <c r="H67" s="67" t="s">
        <v>129</v>
      </c>
      <c r="I67" s="26">
        <v>45757</v>
      </c>
      <c r="J67" s="18">
        <f>C66/D66</f>
        <v>18</v>
      </c>
      <c r="K67" s="13">
        <f t="shared" si="1"/>
        <v>18</v>
      </c>
      <c r="L67" s="21"/>
      <c r="M67" s="184"/>
    </row>
    <row r="68" spans="1:13" s="1" customFormat="1" ht="30" customHeight="1" x14ac:dyDescent="0.25">
      <c r="A68" s="206">
        <v>31</v>
      </c>
      <c r="B68" s="202" t="s">
        <v>130</v>
      </c>
      <c r="C68" s="193">
        <v>55</v>
      </c>
      <c r="D68" s="189">
        <f>COUNTA(E68:E69)</f>
        <v>2</v>
      </c>
      <c r="E68" s="21" t="s">
        <v>131</v>
      </c>
      <c r="F68" s="21" t="s">
        <v>15</v>
      </c>
      <c r="G68" s="21" t="s">
        <v>16</v>
      </c>
      <c r="H68" s="15" t="s">
        <v>17</v>
      </c>
      <c r="I68" s="26">
        <v>45609</v>
      </c>
      <c r="J68" s="18">
        <f>C68/D68</f>
        <v>27.5</v>
      </c>
      <c r="K68" s="13">
        <f t="shared" si="1"/>
        <v>27</v>
      </c>
      <c r="L68" s="11"/>
      <c r="M68" s="183" t="s">
        <v>109</v>
      </c>
    </row>
    <row r="69" spans="1:13" s="1" customFormat="1" ht="30" customHeight="1" x14ac:dyDescent="0.25">
      <c r="A69" s="206"/>
      <c r="B69" s="202"/>
      <c r="C69" s="193"/>
      <c r="D69" s="192"/>
      <c r="E69" s="21" t="s">
        <v>132</v>
      </c>
      <c r="F69" s="21" t="s">
        <v>19</v>
      </c>
      <c r="G69" s="21" t="s">
        <v>16</v>
      </c>
      <c r="H69" s="15" t="s">
        <v>17</v>
      </c>
      <c r="I69" s="26">
        <v>45609</v>
      </c>
      <c r="J69" s="18">
        <f>C68/D68</f>
        <v>27.5</v>
      </c>
      <c r="K69" s="13">
        <f t="shared" si="1"/>
        <v>27</v>
      </c>
      <c r="L69" s="11"/>
      <c r="M69" s="184"/>
    </row>
    <row r="70" spans="1:13" s="1" customFormat="1" ht="30" customHeight="1" x14ac:dyDescent="0.25">
      <c r="A70" s="206">
        <v>32</v>
      </c>
      <c r="B70" s="202" t="s">
        <v>133</v>
      </c>
      <c r="C70" s="193">
        <v>0</v>
      </c>
      <c r="D70" s="189">
        <f>COUNTA(E70:E71)</f>
        <v>2</v>
      </c>
      <c r="E70" s="67" t="s">
        <v>134</v>
      </c>
      <c r="F70" s="68" t="s">
        <v>19</v>
      </c>
      <c r="G70" s="16" t="s">
        <v>64</v>
      </c>
      <c r="H70" s="68"/>
      <c r="I70" s="26">
        <v>45731</v>
      </c>
      <c r="J70" s="18">
        <f>C70/D70</f>
        <v>0</v>
      </c>
      <c r="K70" s="13"/>
      <c r="L70" s="11"/>
      <c r="M70" s="15"/>
    </row>
    <row r="71" spans="1:13" s="1" customFormat="1" ht="30" customHeight="1" x14ac:dyDescent="0.25">
      <c r="A71" s="206"/>
      <c r="B71" s="202"/>
      <c r="C71" s="193"/>
      <c r="D71" s="192"/>
      <c r="E71" s="67" t="s">
        <v>135</v>
      </c>
      <c r="F71" s="68" t="s">
        <v>15</v>
      </c>
      <c r="G71" s="16" t="s">
        <v>16</v>
      </c>
      <c r="H71" s="68" t="s">
        <v>74</v>
      </c>
      <c r="I71" s="26">
        <v>45731</v>
      </c>
      <c r="J71" s="18">
        <f>C70/D70</f>
        <v>0</v>
      </c>
      <c r="K71" s="13"/>
      <c r="L71" s="11"/>
      <c r="M71" s="15"/>
    </row>
    <row r="72" spans="1:13" s="1" customFormat="1" ht="30" customHeight="1" x14ac:dyDescent="0.25">
      <c r="A72" s="206">
        <v>33</v>
      </c>
      <c r="B72" s="202" t="s">
        <v>136</v>
      </c>
      <c r="C72" s="193">
        <v>284</v>
      </c>
      <c r="D72" s="189">
        <f>COUNTA(E72:E73)</f>
        <v>2</v>
      </c>
      <c r="E72" s="21" t="s">
        <v>137</v>
      </c>
      <c r="F72" s="28" t="s">
        <v>15</v>
      </c>
      <c r="G72" s="20" t="s">
        <v>16</v>
      </c>
      <c r="H72" s="20" t="s">
        <v>74</v>
      </c>
      <c r="I72" s="70">
        <v>45941</v>
      </c>
      <c r="J72" s="18">
        <f>C72/D72</f>
        <v>142</v>
      </c>
      <c r="K72" s="13">
        <f t="shared" si="1"/>
        <v>142</v>
      </c>
      <c r="L72" s="23"/>
      <c r="M72" s="27"/>
    </row>
    <row r="73" spans="1:13" s="1" customFormat="1" ht="30" customHeight="1" x14ac:dyDescent="0.25">
      <c r="A73" s="206"/>
      <c r="B73" s="202"/>
      <c r="C73" s="193"/>
      <c r="D73" s="192"/>
      <c r="E73" s="20" t="s">
        <v>138</v>
      </c>
      <c r="F73" s="28" t="s">
        <v>15</v>
      </c>
      <c r="G73" s="20" t="s">
        <v>16</v>
      </c>
      <c r="H73" s="20" t="s">
        <v>74</v>
      </c>
      <c r="I73" s="22">
        <v>45793</v>
      </c>
      <c r="J73" s="18">
        <f>C72/D72</f>
        <v>142</v>
      </c>
      <c r="K73" s="13">
        <f t="shared" si="1"/>
        <v>142</v>
      </c>
      <c r="L73" s="23"/>
      <c r="M73" s="11"/>
    </row>
    <row r="74" spans="1:13" s="1" customFormat="1" ht="30" customHeight="1" x14ac:dyDescent="0.25">
      <c r="A74" s="206">
        <v>34</v>
      </c>
      <c r="B74" s="202" t="s">
        <v>139</v>
      </c>
      <c r="C74" s="193">
        <v>0</v>
      </c>
      <c r="D74" s="189">
        <f>COUNTA(E74:E75)</f>
        <v>2</v>
      </c>
      <c r="E74" s="37" t="s">
        <v>140</v>
      </c>
      <c r="F74" s="47" t="s">
        <v>15</v>
      </c>
      <c r="G74" s="71" t="s">
        <v>92</v>
      </c>
      <c r="H74" s="37"/>
      <c r="I74" s="72">
        <v>45575</v>
      </c>
      <c r="J74" s="18">
        <f>C74/D74</f>
        <v>0</v>
      </c>
      <c r="K74" s="13"/>
      <c r="L74" s="73"/>
      <c r="M74" s="23"/>
    </row>
    <row r="75" spans="1:13" s="1" customFormat="1" ht="30" customHeight="1" x14ac:dyDescent="0.25">
      <c r="A75" s="206"/>
      <c r="B75" s="202"/>
      <c r="C75" s="193"/>
      <c r="D75" s="192"/>
      <c r="E75" s="11" t="s">
        <v>141</v>
      </c>
      <c r="F75" s="19" t="s">
        <v>15</v>
      </c>
      <c r="G75" s="31" t="s">
        <v>92</v>
      </c>
      <c r="H75" s="15"/>
      <c r="I75" s="26">
        <v>45712</v>
      </c>
      <c r="J75" s="18">
        <f>C74/D74</f>
        <v>0</v>
      </c>
      <c r="K75" s="13"/>
      <c r="L75" s="44"/>
      <c r="M75" s="23"/>
    </row>
    <row r="76" spans="1:13" s="1" customFormat="1" ht="30" customHeight="1" x14ac:dyDescent="0.25">
      <c r="A76" s="206">
        <v>35</v>
      </c>
      <c r="B76" s="202" t="s">
        <v>142</v>
      </c>
      <c r="C76" s="193">
        <v>0</v>
      </c>
      <c r="D76" s="189">
        <f>COUNTA(E76:E77)</f>
        <v>2</v>
      </c>
      <c r="E76" s="19" t="s">
        <v>143</v>
      </c>
      <c r="F76" s="15" t="s">
        <v>19</v>
      </c>
      <c r="G76" s="73" t="s">
        <v>64</v>
      </c>
      <c r="H76" s="21" t="s">
        <v>144</v>
      </c>
      <c r="I76" s="39">
        <v>46154</v>
      </c>
      <c r="J76" s="18">
        <f>C76/D76</f>
        <v>0</v>
      </c>
      <c r="K76" s="13"/>
      <c r="L76" s="16"/>
      <c r="M76" s="11"/>
    </row>
    <row r="77" spans="1:13" s="1" customFormat="1" ht="30" customHeight="1" x14ac:dyDescent="0.25">
      <c r="A77" s="206"/>
      <c r="B77" s="202"/>
      <c r="C77" s="193"/>
      <c r="D77" s="192"/>
      <c r="E77" s="30" t="s">
        <v>145</v>
      </c>
      <c r="F77" s="15" t="s">
        <v>19</v>
      </c>
      <c r="G77" s="31" t="s">
        <v>85</v>
      </c>
      <c r="H77" s="15" t="s">
        <v>86</v>
      </c>
      <c r="I77" s="66">
        <v>46204</v>
      </c>
      <c r="J77" s="18"/>
      <c r="K77" s="13"/>
      <c r="L77" s="74"/>
      <c r="M77" s="11"/>
    </row>
    <row r="78" spans="1:13" s="1" customFormat="1" ht="30" customHeight="1" x14ac:dyDescent="0.25">
      <c r="A78" s="206">
        <v>36</v>
      </c>
      <c r="B78" s="203" t="s">
        <v>146</v>
      </c>
      <c r="C78" s="193">
        <v>72</v>
      </c>
      <c r="D78" s="191">
        <f>COUNTA(E78:E80)</f>
        <v>2</v>
      </c>
      <c r="E78" s="52" t="s">
        <v>147</v>
      </c>
      <c r="F78" s="15" t="s">
        <v>15</v>
      </c>
      <c r="G78" s="73" t="s">
        <v>64</v>
      </c>
      <c r="H78" s="63" t="s">
        <v>28</v>
      </c>
      <c r="I78" s="52" t="s">
        <v>148</v>
      </c>
      <c r="J78" s="18">
        <f>C78/D78</f>
        <v>36</v>
      </c>
      <c r="K78" s="13">
        <f t="shared" si="1"/>
        <v>36</v>
      </c>
      <c r="L78" s="11"/>
      <c r="M78" s="11"/>
    </row>
    <row r="79" spans="1:13" s="1" customFormat="1" ht="30" customHeight="1" x14ac:dyDescent="0.25">
      <c r="A79" s="206"/>
      <c r="B79" s="204"/>
      <c r="C79" s="193"/>
      <c r="D79" s="191"/>
      <c r="E79" s="63" t="s">
        <v>149</v>
      </c>
      <c r="F79" s="15" t="s">
        <v>15</v>
      </c>
      <c r="G79" s="73" t="s">
        <v>64</v>
      </c>
      <c r="H79" s="63" t="s">
        <v>28</v>
      </c>
      <c r="I79" s="32">
        <v>45118</v>
      </c>
      <c r="J79" s="18">
        <f>C78/D78</f>
        <v>36</v>
      </c>
      <c r="K79" s="13">
        <f t="shared" si="1"/>
        <v>36</v>
      </c>
      <c r="L79" s="73"/>
      <c r="M79" s="26" t="s">
        <v>150</v>
      </c>
    </row>
    <row r="80" spans="1:13" s="1" customFormat="1" ht="30" customHeight="1" x14ac:dyDescent="0.25">
      <c r="A80" s="11"/>
      <c r="B80" s="205"/>
      <c r="C80" s="193"/>
      <c r="D80" s="191"/>
      <c r="E80" s="15"/>
      <c r="F80" s="15"/>
      <c r="G80" s="73"/>
      <c r="H80" s="63"/>
      <c r="I80" s="26"/>
      <c r="J80" s="18"/>
      <c r="K80" s="13"/>
      <c r="L80" s="73"/>
      <c r="M80" s="26"/>
    </row>
    <row r="81" spans="1:13" s="1" customFormat="1" ht="30" customHeight="1" x14ac:dyDescent="0.25">
      <c r="A81" s="206">
        <v>37</v>
      </c>
      <c r="B81" s="202" t="s">
        <v>151</v>
      </c>
      <c r="C81" s="201">
        <v>287</v>
      </c>
      <c r="D81" s="189">
        <f>COUNTA(E81:E84)</f>
        <v>2</v>
      </c>
      <c r="E81" s="75" t="s">
        <v>152</v>
      </c>
      <c r="F81" s="19" t="s">
        <v>15</v>
      </c>
      <c r="G81" s="16" t="s">
        <v>16</v>
      </c>
      <c r="H81" s="19" t="s">
        <v>74</v>
      </c>
      <c r="I81" s="17">
        <v>44610</v>
      </c>
      <c r="J81" s="18">
        <f>C81/D81</f>
        <v>143.5</v>
      </c>
      <c r="K81" s="13">
        <f>TRUNC(J81)</f>
        <v>143</v>
      </c>
      <c r="L81" s="11"/>
      <c r="M81" s="11"/>
    </row>
    <row r="82" spans="1:13" s="1" customFormat="1" ht="30" customHeight="1" x14ac:dyDescent="0.25">
      <c r="A82" s="206"/>
      <c r="B82" s="202"/>
      <c r="C82" s="201"/>
      <c r="D82" s="190"/>
      <c r="E82" s="75" t="s">
        <v>153</v>
      </c>
      <c r="F82" s="15" t="s">
        <v>15</v>
      </c>
      <c r="G82" s="31" t="s">
        <v>16</v>
      </c>
      <c r="H82" s="15"/>
      <c r="I82" s="17">
        <v>44971</v>
      </c>
      <c r="J82" s="18">
        <f>C81/D81</f>
        <v>143.5</v>
      </c>
      <c r="K82" s="13">
        <f>TRUNC(J82)</f>
        <v>143</v>
      </c>
      <c r="L82" s="11"/>
      <c r="M82" s="11"/>
    </row>
    <row r="83" spans="1:13" s="1" customFormat="1" ht="30" customHeight="1" x14ac:dyDescent="0.25">
      <c r="A83" s="206"/>
      <c r="B83" s="202"/>
      <c r="C83" s="201"/>
      <c r="D83" s="190"/>
      <c r="E83" s="76"/>
      <c r="F83" s="43"/>
      <c r="G83" s="27"/>
      <c r="H83" s="43"/>
      <c r="I83" s="45"/>
      <c r="J83" s="18"/>
      <c r="K83" s="13"/>
      <c r="L83" s="23"/>
      <c r="M83" s="23"/>
    </row>
    <row r="84" spans="1:13" s="1" customFormat="1" ht="30" customHeight="1" x14ac:dyDescent="0.25">
      <c r="A84" s="206"/>
      <c r="B84" s="202"/>
      <c r="C84" s="201"/>
      <c r="D84" s="192"/>
      <c r="E84" s="77"/>
      <c r="F84" s="15"/>
      <c r="G84" s="73"/>
      <c r="H84" s="15"/>
      <c r="I84" s="32"/>
      <c r="J84" s="18"/>
      <c r="K84" s="13"/>
      <c r="L84" s="73"/>
      <c r="M84" s="11"/>
    </row>
    <row r="85" spans="1:13" s="1" customFormat="1" ht="30" customHeight="1" x14ac:dyDescent="0.25">
      <c r="A85" s="206">
        <v>38</v>
      </c>
      <c r="B85" s="202" t="s">
        <v>154</v>
      </c>
      <c r="C85" s="193">
        <v>0</v>
      </c>
      <c r="D85" s="189">
        <f>COUNTA(E85:E88)</f>
        <v>3</v>
      </c>
      <c r="E85" s="19" t="s">
        <v>155</v>
      </c>
      <c r="F85" s="19" t="s">
        <v>15</v>
      </c>
      <c r="G85" s="16" t="s">
        <v>16</v>
      </c>
      <c r="H85" s="19" t="s">
        <v>71</v>
      </c>
      <c r="I85" s="17">
        <v>44784</v>
      </c>
      <c r="J85" s="18">
        <f>C85/D85</f>
        <v>0</v>
      </c>
      <c r="K85" s="13"/>
      <c r="L85" s="11"/>
      <c r="M85" s="11"/>
    </row>
    <row r="86" spans="1:13" s="1" customFormat="1" ht="30" customHeight="1" x14ac:dyDescent="0.25">
      <c r="A86" s="206"/>
      <c r="B86" s="202"/>
      <c r="C86" s="193"/>
      <c r="D86" s="190"/>
      <c r="E86" s="19" t="s">
        <v>156</v>
      </c>
      <c r="F86" s="19" t="s">
        <v>15</v>
      </c>
      <c r="G86" s="16" t="s">
        <v>27</v>
      </c>
      <c r="H86" s="15" t="s">
        <v>28</v>
      </c>
      <c r="I86" s="17">
        <v>44684</v>
      </c>
      <c r="J86" s="18">
        <f>C85/D85</f>
        <v>0</v>
      </c>
      <c r="K86" s="13"/>
      <c r="L86" s="11"/>
      <c r="M86" s="11"/>
    </row>
    <row r="87" spans="1:13" s="1" customFormat="1" ht="30" customHeight="1" x14ac:dyDescent="0.25">
      <c r="A87" s="206"/>
      <c r="B87" s="202"/>
      <c r="C87" s="193"/>
      <c r="D87" s="190"/>
      <c r="E87" s="42" t="s">
        <v>157</v>
      </c>
      <c r="F87" s="42" t="s">
        <v>15</v>
      </c>
      <c r="G87" s="41"/>
      <c r="H87" s="78" t="s">
        <v>158</v>
      </c>
      <c r="I87" s="79">
        <v>45472</v>
      </c>
      <c r="J87" s="18">
        <f>C85/D85</f>
        <v>0</v>
      </c>
      <c r="K87" s="13"/>
      <c r="L87" s="11"/>
      <c r="M87" s="11"/>
    </row>
    <row r="88" spans="1:13" s="1" customFormat="1" ht="30" customHeight="1" x14ac:dyDescent="0.25">
      <c r="A88" s="206"/>
      <c r="B88" s="202"/>
      <c r="C88" s="193"/>
      <c r="D88" s="192"/>
      <c r="E88" s="43"/>
      <c r="F88" s="43"/>
      <c r="G88" s="44"/>
      <c r="H88" s="43"/>
      <c r="I88" s="17"/>
      <c r="J88" s="18"/>
      <c r="K88" s="13"/>
      <c r="L88" s="11"/>
      <c r="M88" s="11"/>
    </row>
    <row r="89" spans="1:13" s="1" customFormat="1" ht="30" customHeight="1" x14ac:dyDescent="0.25">
      <c r="A89" s="206">
        <v>39</v>
      </c>
      <c r="B89" s="202" t="s">
        <v>159</v>
      </c>
      <c r="C89" s="193">
        <v>247</v>
      </c>
      <c r="D89" s="189">
        <v>2</v>
      </c>
      <c r="E89" s="80" t="s">
        <v>160</v>
      </c>
      <c r="F89" s="63" t="s">
        <v>15</v>
      </c>
      <c r="G89" s="64" t="s">
        <v>16</v>
      </c>
      <c r="H89" s="73" t="s">
        <v>161</v>
      </c>
      <c r="I89" s="32">
        <v>46204</v>
      </c>
      <c r="J89" s="18"/>
      <c r="K89" s="13"/>
      <c r="L89" s="11"/>
      <c r="M89" s="11"/>
    </row>
    <row r="90" spans="1:13" s="1" customFormat="1" ht="30" customHeight="1" x14ac:dyDescent="0.25">
      <c r="A90" s="206"/>
      <c r="B90" s="202"/>
      <c r="C90" s="193"/>
      <c r="D90" s="190"/>
      <c r="E90" s="11" t="s">
        <v>162</v>
      </c>
      <c r="F90" s="28" t="s">
        <v>15</v>
      </c>
      <c r="G90" s="11" t="s">
        <v>16</v>
      </c>
      <c r="H90" s="11" t="s">
        <v>74</v>
      </c>
      <c r="I90" s="26">
        <v>45538</v>
      </c>
      <c r="J90" s="18">
        <v>160.9</v>
      </c>
      <c r="K90" s="13">
        <f>TRUNC(J90)</f>
        <v>160</v>
      </c>
      <c r="L90" s="11"/>
      <c r="M90" s="11"/>
    </row>
    <row r="91" spans="1:13" s="1" customFormat="1" ht="30" customHeight="1" x14ac:dyDescent="0.25">
      <c r="A91" s="206"/>
      <c r="B91" s="202"/>
      <c r="C91" s="193"/>
      <c r="D91" s="190"/>
      <c r="E91" s="27" t="s">
        <v>163</v>
      </c>
      <c r="F91" s="28" t="s">
        <v>15</v>
      </c>
      <c r="G91" s="20" t="s">
        <v>16</v>
      </c>
      <c r="H91" s="20" t="s">
        <v>74</v>
      </c>
      <c r="I91" s="22">
        <v>46140</v>
      </c>
      <c r="J91" s="18">
        <v>86.1</v>
      </c>
      <c r="K91" s="13">
        <f>TRUNC(J91)</f>
        <v>86</v>
      </c>
      <c r="L91" s="23"/>
      <c r="M91" s="70" t="s">
        <v>164</v>
      </c>
    </row>
    <row r="92" spans="1:13" s="1" customFormat="1" ht="30" customHeight="1" x14ac:dyDescent="0.25">
      <c r="A92" s="206"/>
      <c r="B92" s="202"/>
      <c r="C92" s="193"/>
      <c r="D92" s="192"/>
      <c r="E92" s="27"/>
      <c r="F92" s="62"/>
      <c r="G92" s="23"/>
      <c r="H92" s="27"/>
      <c r="I92" s="45"/>
      <c r="J92" s="18"/>
      <c r="K92" s="13"/>
      <c r="L92" s="23"/>
      <c r="M92" s="11"/>
    </row>
    <row r="93" spans="1:13" s="1" customFormat="1" ht="30" customHeight="1" x14ac:dyDescent="0.25">
      <c r="A93" s="206">
        <v>40</v>
      </c>
      <c r="B93" s="202" t="s">
        <v>165</v>
      </c>
      <c r="C93" s="193">
        <v>0</v>
      </c>
      <c r="D93" s="189">
        <f>COUNTA(E93:E96)</f>
        <v>2</v>
      </c>
      <c r="E93" s="15" t="s">
        <v>166</v>
      </c>
      <c r="F93" s="19" t="s">
        <v>15</v>
      </c>
      <c r="G93" s="16" t="s">
        <v>16</v>
      </c>
      <c r="H93" s="15" t="s">
        <v>74</v>
      </c>
      <c r="I93" s="17">
        <v>42156</v>
      </c>
      <c r="J93" s="18">
        <f>C93/D93</f>
        <v>0</v>
      </c>
      <c r="K93" s="13"/>
      <c r="L93" s="11"/>
      <c r="M93" s="11"/>
    </row>
    <row r="94" spans="1:13" s="1" customFormat="1" ht="30" customHeight="1" x14ac:dyDescent="0.25">
      <c r="A94" s="206"/>
      <c r="B94" s="202"/>
      <c r="C94" s="193"/>
      <c r="D94" s="190"/>
      <c r="E94" s="15" t="s">
        <v>167</v>
      </c>
      <c r="F94" s="28" t="s">
        <v>15</v>
      </c>
      <c r="G94" s="21" t="s">
        <v>16</v>
      </c>
      <c r="H94" s="81" t="s">
        <v>168</v>
      </c>
      <c r="I94" s="81" t="s">
        <v>169</v>
      </c>
      <c r="J94" s="18">
        <f>C93/D93</f>
        <v>0</v>
      </c>
      <c r="K94" s="13"/>
      <c r="L94" s="21"/>
      <c r="M94" s="11"/>
    </row>
    <row r="95" spans="1:13" s="1" customFormat="1" ht="30" customHeight="1" x14ac:dyDescent="0.25">
      <c r="A95" s="206"/>
      <c r="B95" s="202"/>
      <c r="C95" s="193"/>
      <c r="D95" s="190"/>
      <c r="E95" s="15"/>
      <c r="F95" s="15"/>
      <c r="G95" s="31"/>
      <c r="H95" s="15"/>
      <c r="I95" s="17"/>
      <c r="J95" s="18"/>
      <c r="K95" s="13"/>
      <c r="L95" s="11"/>
      <c r="M95" s="11"/>
    </row>
    <row r="96" spans="1:13" s="1" customFormat="1" ht="30" customHeight="1" x14ac:dyDescent="0.25">
      <c r="A96" s="206"/>
      <c r="B96" s="202"/>
      <c r="C96" s="193"/>
      <c r="D96" s="192"/>
      <c r="E96" s="15"/>
      <c r="F96" s="15"/>
      <c r="G96" s="31"/>
      <c r="H96" s="15"/>
      <c r="I96" s="17"/>
      <c r="J96" s="18"/>
      <c r="K96" s="13"/>
      <c r="L96" s="11"/>
      <c r="M96" s="11"/>
    </row>
    <row r="97" spans="1:13" s="1" customFormat="1" ht="30" customHeight="1" x14ac:dyDescent="0.25">
      <c r="A97" s="206">
        <v>41</v>
      </c>
      <c r="B97" s="202" t="s">
        <v>170</v>
      </c>
      <c r="C97" s="200">
        <v>0</v>
      </c>
      <c r="D97" s="189">
        <f>COUNTA(E97:E100)</f>
        <v>3</v>
      </c>
      <c r="E97" s="11" t="s">
        <v>171</v>
      </c>
      <c r="F97" s="19" t="s">
        <v>19</v>
      </c>
      <c r="G97" s="21" t="s">
        <v>64</v>
      </c>
      <c r="H97" s="19"/>
      <c r="I97" s="26">
        <v>46105</v>
      </c>
      <c r="J97" s="18">
        <f>C97/D97</f>
        <v>0</v>
      </c>
      <c r="K97" s="13"/>
      <c r="L97" s="73"/>
      <c r="M97" s="73"/>
    </row>
    <row r="98" spans="1:13" s="1" customFormat="1" ht="30" customHeight="1" x14ac:dyDescent="0.25">
      <c r="A98" s="206"/>
      <c r="B98" s="202"/>
      <c r="C98" s="200"/>
      <c r="D98" s="190"/>
      <c r="E98" s="61" t="s">
        <v>172</v>
      </c>
      <c r="F98" s="15" t="s">
        <v>19</v>
      </c>
      <c r="G98" s="73" t="s">
        <v>64</v>
      </c>
      <c r="H98" s="32" t="s">
        <v>173</v>
      </c>
      <c r="I98" s="32">
        <v>45370</v>
      </c>
      <c r="J98" s="18">
        <f>C97/D97</f>
        <v>0</v>
      </c>
      <c r="K98" s="13"/>
      <c r="L98" s="73"/>
      <c r="M98" s="73"/>
    </row>
    <row r="99" spans="1:13" s="1" customFormat="1" ht="30" customHeight="1" x14ac:dyDescent="0.25">
      <c r="A99" s="206"/>
      <c r="B99" s="202"/>
      <c r="C99" s="200"/>
      <c r="D99" s="190"/>
      <c r="E99" s="16" t="s">
        <v>174</v>
      </c>
      <c r="F99" s="16" t="s">
        <v>19</v>
      </c>
      <c r="G99" s="16" t="s">
        <v>64</v>
      </c>
      <c r="H99" s="16"/>
      <c r="I99" s="26">
        <v>45769</v>
      </c>
      <c r="J99" s="18">
        <f>C97/D97</f>
        <v>0</v>
      </c>
      <c r="K99" s="13"/>
      <c r="L99" s="73"/>
      <c r="M99" s="73"/>
    </row>
    <row r="100" spans="1:13" s="1" customFormat="1" ht="30" customHeight="1" x14ac:dyDescent="0.25">
      <c r="A100" s="206"/>
      <c r="B100" s="202"/>
      <c r="C100" s="200"/>
      <c r="D100" s="192"/>
      <c r="E100" s="20"/>
      <c r="F100" s="20"/>
      <c r="G100" s="20"/>
      <c r="H100" s="20"/>
      <c r="I100" s="17"/>
      <c r="J100" s="18"/>
      <c r="K100" s="13"/>
      <c r="L100" s="11"/>
      <c r="M100" s="11"/>
    </row>
    <row r="101" spans="1:13" s="1" customFormat="1" ht="30" customHeight="1" x14ac:dyDescent="0.25">
      <c r="A101" s="206">
        <v>42</v>
      </c>
      <c r="B101" s="202" t="s">
        <v>175</v>
      </c>
      <c r="C101" s="193">
        <v>112</v>
      </c>
      <c r="D101" s="189">
        <f>COUNTA(E101:E104)</f>
        <v>3</v>
      </c>
      <c r="E101" s="15"/>
      <c r="F101" s="19"/>
      <c r="G101" s="16"/>
      <c r="H101" s="19"/>
      <c r="I101" s="17"/>
      <c r="J101" s="18"/>
      <c r="K101" s="13"/>
      <c r="L101" s="11"/>
      <c r="M101" s="11"/>
    </row>
    <row r="102" spans="1:13" s="1" customFormat="1" ht="30" customHeight="1" x14ac:dyDescent="0.25">
      <c r="A102" s="206"/>
      <c r="B102" s="202"/>
      <c r="C102" s="193"/>
      <c r="D102" s="190"/>
      <c r="E102" s="29" t="s">
        <v>176</v>
      </c>
      <c r="F102" s="19" t="s">
        <v>15</v>
      </c>
      <c r="G102" s="16" t="s">
        <v>16</v>
      </c>
      <c r="H102" s="19" t="s">
        <v>71</v>
      </c>
      <c r="I102" s="17">
        <v>45181</v>
      </c>
      <c r="J102" s="18">
        <f>C101/D101</f>
        <v>37.333333333333336</v>
      </c>
      <c r="K102" s="13">
        <f>TRUNC(J102)</f>
        <v>37</v>
      </c>
      <c r="L102" s="11"/>
      <c r="M102" s="11"/>
    </row>
    <row r="103" spans="1:13" s="1" customFormat="1" ht="30" customHeight="1" x14ac:dyDescent="0.25">
      <c r="A103" s="206"/>
      <c r="B103" s="202"/>
      <c r="C103" s="193"/>
      <c r="D103" s="190"/>
      <c r="E103" s="19" t="s">
        <v>177</v>
      </c>
      <c r="F103" s="19" t="s">
        <v>15</v>
      </c>
      <c r="G103" s="16" t="s">
        <v>16</v>
      </c>
      <c r="H103" s="19" t="s">
        <v>71</v>
      </c>
      <c r="I103" s="17">
        <v>45163</v>
      </c>
      <c r="J103" s="18">
        <f>C101/D101</f>
        <v>37.333333333333336</v>
      </c>
      <c r="K103" s="13">
        <f>TRUNC(J103)</f>
        <v>37</v>
      </c>
      <c r="L103" s="11"/>
      <c r="M103" s="11"/>
    </row>
    <row r="104" spans="1:13" s="1" customFormat="1" ht="30" customHeight="1" x14ac:dyDescent="0.25">
      <c r="A104" s="206"/>
      <c r="B104" s="202"/>
      <c r="C104" s="193"/>
      <c r="D104" s="192"/>
      <c r="E104" s="28" t="s">
        <v>178</v>
      </c>
      <c r="F104" s="28" t="s">
        <v>15</v>
      </c>
      <c r="G104" s="21" t="s">
        <v>16</v>
      </c>
      <c r="H104" s="28" t="s">
        <v>71</v>
      </c>
      <c r="I104" s="26">
        <v>45701</v>
      </c>
      <c r="J104" s="18">
        <f>C101/D101</f>
        <v>37.333333333333336</v>
      </c>
      <c r="K104" s="13">
        <f>TRUNC(J104)</f>
        <v>37</v>
      </c>
      <c r="L104" s="11"/>
      <c r="M104" s="11"/>
    </row>
    <row r="105" spans="1:13" s="1" customFormat="1" ht="30" customHeight="1" x14ac:dyDescent="0.25">
      <c r="A105" s="206">
        <v>43</v>
      </c>
      <c r="B105" s="202" t="s">
        <v>179</v>
      </c>
      <c r="C105" s="193">
        <v>168</v>
      </c>
      <c r="D105" s="189">
        <f>COUNTA(E105:E108)</f>
        <v>2</v>
      </c>
      <c r="E105" s="61" t="s">
        <v>180</v>
      </c>
      <c r="F105" s="19" t="s">
        <v>15</v>
      </c>
      <c r="G105" s="16" t="s">
        <v>64</v>
      </c>
      <c r="H105" s="15" t="s">
        <v>28</v>
      </c>
      <c r="I105" s="17">
        <v>39513</v>
      </c>
      <c r="J105" s="18">
        <f>C105/D105</f>
        <v>84</v>
      </c>
      <c r="K105" s="13">
        <f>TRUNC(J105)</f>
        <v>84</v>
      </c>
      <c r="L105" s="11"/>
      <c r="M105" s="11"/>
    </row>
    <row r="106" spans="1:13" s="1" customFormat="1" ht="30" customHeight="1" x14ac:dyDescent="0.25">
      <c r="A106" s="206"/>
      <c r="B106" s="202"/>
      <c r="C106" s="193"/>
      <c r="D106" s="190"/>
      <c r="E106" s="61" t="s">
        <v>181</v>
      </c>
      <c r="F106" s="19" t="s">
        <v>15</v>
      </c>
      <c r="G106" s="16" t="s">
        <v>64</v>
      </c>
      <c r="H106" s="15" t="s">
        <v>28</v>
      </c>
      <c r="I106" s="17">
        <v>40336</v>
      </c>
      <c r="J106" s="18">
        <f>C105/D105</f>
        <v>84</v>
      </c>
      <c r="K106" s="13">
        <f>TRUNC(J106)</f>
        <v>84</v>
      </c>
      <c r="L106" s="11"/>
      <c r="M106" s="11"/>
    </row>
    <row r="107" spans="1:13" s="1" customFormat="1" ht="30" customHeight="1" x14ac:dyDescent="0.25">
      <c r="A107" s="206"/>
      <c r="B107" s="202"/>
      <c r="C107" s="193"/>
      <c r="D107" s="190"/>
      <c r="E107" s="82"/>
      <c r="F107" s="43"/>
      <c r="G107" s="44"/>
      <c r="H107" s="43"/>
      <c r="I107" s="54"/>
      <c r="J107" s="18"/>
      <c r="K107" s="13"/>
      <c r="L107" s="23"/>
      <c r="M107" s="23"/>
    </row>
    <row r="108" spans="1:13" s="1" customFormat="1" ht="30" customHeight="1" x14ac:dyDescent="0.25">
      <c r="A108" s="206"/>
      <c r="B108" s="202"/>
      <c r="C108" s="193"/>
      <c r="D108" s="192"/>
      <c r="E108" s="16"/>
      <c r="F108" s="16"/>
      <c r="G108" s="16"/>
      <c r="H108" s="16"/>
      <c r="I108" s="17"/>
      <c r="J108" s="18"/>
      <c r="K108" s="13"/>
      <c r="L108" s="11"/>
      <c r="M108" s="11"/>
    </row>
    <row r="109" spans="1:13" s="1" customFormat="1" ht="30" customHeight="1" x14ac:dyDescent="0.25">
      <c r="A109" s="206">
        <v>44</v>
      </c>
      <c r="B109" s="202" t="s">
        <v>182</v>
      </c>
      <c r="C109" s="193">
        <v>0</v>
      </c>
      <c r="D109" s="189">
        <f>COUNTA(E109:E112)</f>
        <v>2</v>
      </c>
      <c r="E109" s="61" t="s">
        <v>183</v>
      </c>
      <c r="F109" s="19" t="s">
        <v>15</v>
      </c>
      <c r="G109" s="16" t="s">
        <v>64</v>
      </c>
      <c r="H109" s="15" t="s">
        <v>28</v>
      </c>
      <c r="I109" s="17">
        <v>42382</v>
      </c>
      <c r="J109" s="18">
        <f>C109/D109</f>
        <v>0</v>
      </c>
      <c r="K109" s="13"/>
      <c r="L109" s="11"/>
      <c r="M109" s="11"/>
    </row>
    <row r="110" spans="1:13" s="1" customFormat="1" ht="30" customHeight="1" x14ac:dyDescent="0.25">
      <c r="A110" s="206"/>
      <c r="B110" s="202"/>
      <c r="C110" s="193"/>
      <c r="D110" s="190"/>
      <c r="E110" s="61" t="s">
        <v>184</v>
      </c>
      <c r="F110" s="19" t="s">
        <v>15</v>
      </c>
      <c r="G110" s="16" t="s">
        <v>64</v>
      </c>
      <c r="H110" s="15" t="s">
        <v>28</v>
      </c>
      <c r="I110" s="17">
        <v>42483</v>
      </c>
      <c r="J110" s="18">
        <f>C109/D109</f>
        <v>0</v>
      </c>
      <c r="K110" s="13"/>
      <c r="L110" s="11"/>
      <c r="M110" s="11"/>
    </row>
    <row r="111" spans="1:13" s="1" customFormat="1" ht="30" customHeight="1" x14ac:dyDescent="0.25">
      <c r="A111" s="206"/>
      <c r="B111" s="202"/>
      <c r="C111" s="193"/>
      <c r="D111" s="190"/>
      <c r="E111" s="15"/>
      <c r="F111" s="19"/>
      <c r="G111" s="16"/>
      <c r="H111" s="81"/>
      <c r="I111" s="17"/>
      <c r="J111" s="18"/>
      <c r="K111" s="13"/>
      <c r="L111" s="11"/>
      <c r="M111" s="11"/>
    </row>
    <row r="112" spans="1:13" s="1" customFormat="1" ht="30" customHeight="1" x14ac:dyDescent="0.25">
      <c r="A112" s="206"/>
      <c r="B112" s="202"/>
      <c r="C112" s="193"/>
      <c r="D112" s="192"/>
      <c r="E112" s="16"/>
      <c r="F112" s="16"/>
      <c r="G112" s="16"/>
      <c r="H112" s="16"/>
      <c r="I112" s="17"/>
      <c r="J112" s="18"/>
      <c r="K112" s="13"/>
      <c r="L112" s="11"/>
      <c r="M112" s="11"/>
    </row>
    <row r="113" spans="1:13" s="1" customFormat="1" ht="30" customHeight="1" x14ac:dyDescent="0.25">
      <c r="A113" s="206">
        <v>45</v>
      </c>
      <c r="B113" s="202" t="s">
        <v>185</v>
      </c>
      <c r="C113" s="193">
        <v>0</v>
      </c>
      <c r="D113" s="189">
        <f>COUNTA(E113:E116)</f>
        <v>2</v>
      </c>
      <c r="E113" s="15" t="s">
        <v>186</v>
      </c>
      <c r="F113" s="19" t="s">
        <v>15</v>
      </c>
      <c r="G113" s="16" t="s">
        <v>64</v>
      </c>
      <c r="H113" s="15" t="s">
        <v>28</v>
      </c>
      <c r="I113" s="17">
        <v>42182</v>
      </c>
      <c r="J113" s="18">
        <f>C113/D113</f>
        <v>0</v>
      </c>
      <c r="K113" s="13"/>
      <c r="L113" s="11"/>
      <c r="M113" s="11"/>
    </row>
    <row r="114" spans="1:13" s="1" customFormat="1" ht="30" customHeight="1" x14ac:dyDescent="0.25">
      <c r="A114" s="206"/>
      <c r="B114" s="202"/>
      <c r="C114" s="193"/>
      <c r="D114" s="190"/>
      <c r="E114" s="19" t="s">
        <v>187</v>
      </c>
      <c r="F114" s="19" t="s">
        <v>15</v>
      </c>
      <c r="G114" s="16" t="s">
        <v>64</v>
      </c>
      <c r="H114" s="15" t="s">
        <v>28</v>
      </c>
      <c r="I114" s="17">
        <v>44259</v>
      </c>
      <c r="J114" s="18">
        <f>C113/D113</f>
        <v>0</v>
      </c>
      <c r="K114" s="13"/>
      <c r="L114" s="11"/>
      <c r="M114" s="11"/>
    </row>
    <row r="115" spans="1:13" s="1" customFormat="1" ht="30" customHeight="1" x14ac:dyDescent="0.25">
      <c r="A115" s="206"/>
      <c r="B115" s="202"/>
      <c r="C115" s="193"/>
      <c r="D115" s="190"/>
      <c r="E115" s="15"/>
      <c r="F115" s="15"/>
      <c r="G115" s="16"/>
      <c r="H115" s="15"/>
      <c r="I115" s="17"/>
      <c r="J115" s="18"/>
      <c r="K115" s="13"/>
      <c r="L115" s="11"/>
      <c r="M115" s="11"/>
    </row>
    <row r="116" spans="1:13" s="1" customFormat="1" ht="30" customHeight="1" x14ac:dyDescent="0.25">
      <c r="A116" s="206"/>
      <c r="B116" s="202"/>
      <c r="C116" s="193"/>
      <c r="D116" s="192"/>
      <c r="E116" s="16"/>
      <c r="F116" s="16"/>
      <c r="G116" s="16"/>
      <c r="H116" s="16"/>
      <c r="I116" s="17"/>
      <c r="J116" s="18"/>
      <c r="K116" s="13"/>
      <c r="L116" s="11"/>
      <c r="M116" s="11"/>
    </row>
    <row r="117" spans="1:13" s="1" customFormat="1" ht="30" customHeight="1" x14ac:dyDescent="0.25">
      <c r="A117" s="206">
        <v>46</v>
      </c>
      <c r="B117" s="202" t="s">
        <v>188</v>
      </c>
      <c r="C117" s="193">
        <v>0</v>
      </c>
      <c r="D117" s="189">
        <f>COUNTA(E117:E120)</f>
        <v>2</v>
      </c>
      <c r="E117" s="61" t="s">
        <v>189</v>
      </c>
      <c r="F117" s="28" t="s">
        <v>15</v>
      </c>
      <c r="G117" s="21" t="s">
        <v>64</v>
      </c>
      <c r="H117" s="15" t="s">
        <v>28</v>
      </c>
      <c r="I117" s="26">
        <v>45437</v>
      </c>
      <c r="J117" s="18">
        <f>C117/D117</f>
        <v>0</v>
      </c>
      <c r="K117" s="13"/>
      <c r="L117" s="21"/>
      <c r="M117" s="11"/>
    </row>
    <row r="118" spans="1:13" s="1" customFormat="1" ht="30" customHeight="1" x14ac:dyDescent="0.25">
      <c r="A118" s="206"/>
      <c r="B118" s="202"/>
      <c r="C118" s="193"/>
      <c r="D118" s="190"/>
      <c r="E118" s="28" t="s">
        <v>190</v>
      </c>
      <c r="F118" s="19" t="s">
        <v>15</v>
      </c>
      <c r="G118" s="28" t="s">
        <v>64</v>
      </c>
      <c r="H118" s="28"/>
      <c r="I118" s="26">
        <v>45521</v>
      </c>
      <c r="J118" s="18">
        <f>C117/D117</f>
        <v>0</v>
      </c>
      <c r="K118" s="13"/>
      <c r="L118" s="27"/>
      <c r="M118" s="11"/>
    </row>
    <row r="119" spans="1:13" s="1" customFormat="1" ht="30" customHeight="1" x14ac:dyDescent="0.25">
      <c r="A119" s="206"/>
      <c r="B119" s="202"/>
      <c r="C119" s="193"/>
      <c r="D119" s="190"/>
      <c r="E119" s="15"/>
      <c r="F119" s="15"/>
      <c r="G119" s="73"/>
      <c r="H119" s="63"/>
      <c r="I119" s="26"/>
      <c r="J119" s="18"/>
      <c r="K119" s="13"/>
      <c r="L119" s="11"/>
      <c r="M119" s="11"/>
    </row>
    <row r="120" spans="1:13" s="1" customFormat="1" ht="30" customHeight="1" x14ac:dyDescent="0.25">
      <c r="A120" s="206"/>
      <c r="B120" s="202"/>
      <c r="C120" s="193"/>
      <c r="D120" s="192"/>
      <c r="E120" s="16"/>
      <c r="F120" s="16"/>
      <c r="G120" s="16"/>
      <c r="H120" s="16"/>
      <c r="I120" s="17"/>
      <c r="J120" s="18"/>
      <c r="K120" s="13"/>
      <c r="L120" s="11"/>
      <c r="M120" s="11"/>
    </row>
    <row r="121" spans="1:13" s="1" customFormat="1" ht="30" customHeight="1" x14ac:dyDescent="0.25">
      <c r="A121" s="206">
        <v>47</v>
      </c>
      <c r="B121" s="202" t="s">
        <v>191</v>
      </c>
      <c r="C121" s="193">
        <v>0</v>
      </c>
      <c r="D121" s="189">
        <f>COUNTA(E121:E124)</f>
        <v>3</v>
      </c>
      <c r="E121" s="19" t="s">
        <v>192</v>
      </c>
      <c r="F121" s="19" t="s">
        <v>15</v>
      </c>
      <c r="G121" s="16" t="s">
        <v>16</v>
      </c>
      <c r="H121" s="15" t="s">
        <v>71</v>
      </c>
      <c r="I121" s="17">
        <v>44188</v>
      </c>
      <c r="J121" s="18">
        <f>C121/D121</f>
        <v>0</v>
      </c>
      <c r="K121" s="13"/>
      <c r="L121" s="11"/>
      <c r="M121" s="11"/>
    </row>
    <row r="122" spans="1:13" s="1" customFormat="1" ht="30" customHeight="1" x14ac:dyDescent="0.25">
      <c r="A122" s="206"/>
      <c r="B122" s="202"/>
      <c r="C122" s="193"/>
      <c r="D122" s="190"/>
      <c r="E122" s="19" t="s">
        <v>193</v>
      </c>
      <c r="F122" s="19" t="s">
        <v>15</v>
      </c>
      <c r="G122" s="16" t="s">
        <v>16</v>
      </c>
      <c r="H122" s="15" t="s">
        <v>71</v>
      </c>
      <c r="I122" s="17">
        <v>44252</v>
      </c>
      <c r="J122" s="18">
        <f>C121/D121</f>
        <v>0</v>
      </c>
      <c r="K122" s="13"/>
      <c r="L122" s="11"/>
      <c r="M122" s="11"/>
    </row>
    <row r="123" spans="1:13" s="1" customFormat="1" ht="30" customHeight="1" x14ac:dyDescent="0.25">
      <c r="A123" s="206"/>
      <c r="B123" s="202"/>
      <c r="C123" s="193"/>
      <c r="D123" s="190"/>
      <c r="E123" s="15" t="s">
        <v>194</v>
      </c>
      <c r="F123" s="19" t="s">
        <v>15</v>
      </c>
      <c r="G123" s="16" t="s">
        <v>16</v>
      </c>
      <c r="H123" s="81" t="s">
        <v>74</v>
      </c>
      <c r="I123" s="17">
        <v>42948</v>
      </c>
      <c r="J123" s="18">
        <f>C121/D121</f>
        <v>0</v>
      </c>
      <c r="K123" s="13"/>
      <c r="L123" s="11"/>
      <c r="M123" s="11" t="s">
        <v>195</v>
      </c>
    </row>
    <row r="124" spans="1:13" s="1" customFormat="1" ht="30" customHeight="1" x14ac:dyDescent="0.25">
      <c r="A124" s="206"/>
      <c r="B124" s="202"/>
      <c r="C124" s="193"/>
      <c r="D124" s="192"/>
      <c r="E124" s="23"/>
      <c r="F124" s="62"/>
      <c r="G124" s="27"/>
      <c r="H124" s="43"/>
      <c r="I124" s="62"/>
      <c r="J124" s="18"/>
      <c r="K124" s="13"/>
      <c r="L124" s="11"/>
      <c r="M124" s="11"/>
    </row>
    <row r="125" spans="1:13" s="1" customFormat="1" ht="30" customHeight="1" x14ac:dyDescent="0.25">
      <c r="A125" s="206">
        <v>48</v>
      </c>
      <c r="B125" s="202" t="s">
        <v>196</v>
      </c>
      <c r="C125" s="193">
        <v>0</v>
      </c>
      <c r="D125" s="189">
        <f>COUNTA(E125:E128)</f>
        <v>0</v>
      </c>
      <c r="E125" s="15"/>
      <c r="F125" s="15"/>
      <c r="G125" s="16"/>
      <c r="H125" s="15"/>
      <c r="I125" s="83"/>
      <c r="J125" s="18"/>
      <c r="K125" s="13"/>
      <c r="L125" s="11"/>
      <c r="M125" s="11"/>
    </row>
    <row r="126" spans="1:13" s="1" customFormat="1" ht="30" customHeight="1" x14ac:dyDescent="0.25">
      <c r="A126" s="206"/>
      <c r="B126" s="202"/>
      <c r="C126" s="193"/>
      <c r="D126" s="190"/>
      <c r="E126" s="15"/>
      <c r="F126" s="15"/>
      <c r="G126" s="31"/>
      <c r="H126" s="15"/>
      <c r="I126" s="66"/>
      <c r="J126" s="18"/>
      <c r="K126" s="13"/>
      <c r="L126" s="31"/>
      <c r="M126" s="21"/>
    </row>
    <row r="127" spans="1:13" s="1" customFormat="1" ht="30" customHeight="1" x14ac:dyDescent="0.25">
      <c r="A127" s="206"/>
      <c r="B127" s="202"/>
      <c r="C127" s="193"/>
      <c r="D127" s="190"/>
      <c r="E127" s="15"/>
      <c r="F127" s="15"/>
      <c r="G127" s="15"/>
      <c r="H127" s="15"/>
      <c r="I127" s="39"/>
      <c r="J127" s="18"/>
      <c r="K127" s="13"/>
      <c r="L127" s="11"/>
      <c r="M127" s="11"/>
    </row>
    <row r="128" spans="1:13" s="1" customFormat="1" ht="30" customHeight="1" x14ac:dyDescent="0.25">
      <c r="A128" s="206"/>
      <c r="B128" s="202"/>
      <c r="C128" s="193"/>
      <c r="D128" s="192"/>
      <c r="E128" s="15"/>
      <c r="F128" s="19"/>
      <c r="G128" s="16"/>
      <c r="H128" s="19"/>
      <c r="I128" s="17"/>
      <c r="J128" s="18"/>
      <c r="K128" s="13"/>
      <c r="L128" s="11"/>
      <c r="M128" s="11"/>
    </row>
    <row r="129" spans="1:13" s="1" customFormat="1" ht="30" customHeight="1" x14ac:dyDescent="0.25">
      <c r="A129" s="206">
        <v>49</v>
      </c>
      <c r="B129" s="202" t="s">
        <v>197</v>
      </c>
      <c r="C129" s="193">
        <v>0</v>
      </c>
      <c r="D129" s="189">
        <f>COUNTA(E129:E132)</f>
        <v>2</v>
      </c>
      <c r="E129" s="15" t="s">
        <v>198</v>
      </c>
      <c r="F129" s="15" t="s">
        <v>15</v>
      </c>
      <c r="G129" s="16" t="s">
        <v>16</v>
      </c>
      <c r="H129" s="15" t="s">
        <v>71</v>
      </c>
      <c r="I129" s="39">
        <v>45231</v>
      </c>
      <c r="J129" s="18">
        <f>C129/D129</f>
        <v>0</v>
      </c>
      <c r="K129" s="13"/>
      <c r="L129" s="27"/>
      <c r="M129" s="11"/>
    </row>
    <row r="130" spans="1:13" s="1" customFormat="1" ht="30" customHeight="1" x14ac:dyDescent="0.25">
      <c r="A130" s="206"/>
      <c r="B130" s="202"/>
      <c r="C130" s="193"/>
      <c r="D130" s="190"/>
      <c r="E130" s="63" t="s">
        <v>199</v>
      </c>
      <c r="F130" s="28" t="s">
        <v>15</v>
      </c>
      <c r="G130" s="21" t="s">
        <v>16</v>
      </c>
      <c r="H130" s="28" t="s">
        <v>71</v>
      </c>
      <c r="I130" s="26">
        <v>45463</v>
      </c>
      <c r="J130" s="18">
        <f>C129/D129</f>
        <v>0</v>
      </c>
      <c r="K130" s="13"/>
      <c r="L130" s="11"/>
      <c r="M130" s="11"/>
    </row>
    <row r="131" spans="1:13" s="1" customFormat="1" ht="30" customHeight="1" x14ac:dyDescent="0.25">
      <c r="A131" s="206"/>
      <c r="B131" s="202"/>
      <c r="C131" s="193"/>
      <c r="D131" s="190"/>
      <c r="E131" s="63"/>
      <c r="F131" s="19"/>
      <c r="G131" s="16"/>
      <c r="H131" s="19"/>
      <c r="I131" s="26"/>
      <c r="J131" s="18"/>
      <c r="K131" s="13"/>
      <c r="L131" s="21"/>
      <c r="M131" s="11"/>
    </row>
    <row r="132" spans="1:13" s="1" customFormat="1" ht="30" customHeight="1" x14ac:dyDescent="0.25">
      <c r="A132" s="206"/>
      <c r="B132" s="202"/>
      <c r="C132" s="193"/>
      <c r="D132" s="192"/>
      <c r="E132" s="63"/>
      <c r="F132" s="28"/>
      <c r="G132" s="21"/>
      <c r="H132" s="28"/>
      <c r="I132" s="26"/>
      <c r="J132" s="18"/>
      <c r="K132" s="13"/>
      <c r="L132" s="21"/>
      <c r="M132" s="11"/>
    </row>
    <row r="133" spans="1:13" s="1" customFormat="1" ht="30" customHeight="1" x14ac:dyDescent="0.25">
      <c r="A133" s="206">
        <v>50</v>
      </c>
      <c r="B133" s="202" t="s">
        <v>200</v>
      </c>
      <c r="C133" s="193">
        <v>222</v>
      </c>
      <c r="D133" s="189">
        <f>COUNTA(E133:E136)</f>
        <v>3</v>
      </c>
      <c r="E133" s="20" t="s">
        <v>201</v>
      </c>
      <c r="F133" s="28" t="s">
        <v>15</v>
      </c>
      <c r="G133" s="21" t="s">
        <v>16</v>
      </c>
      <c r="H133" s="28" t="s">
        <v>71</v>
      </c>
      <c r="I133" s="22">
        <v>45762</v>
      </c>
      <c r="J133" s="18">
        <v>87.6</v>
      </c>
      <c r="K133" s="13">
        <f>TRUNC(J133)</f>
        <v>87</v>
      </c>
      <c r="L133" s="23"/>
      <c r="M133" s="11"/>
    </row>
    <row r="134" spans="1:13" s="1" customFormat="1" ht="30" customHeight="1" x14ac:dyDescent="0.25">
      <c r="A134" s="206"/>
      <c r="B134" s="202"/>
      <c r="C134" s="193"/>
      <c r="D134" s="190"/>
      <c r="E134" s="28" t="s">
        <v>202</v>
      </c>
      <c r="F134" s="28" t="s">
        <v>15</v>
      </c>
      <c r="G134" s="21" t="s">
        <v>16</v>
      </c>
      <c r="H134" s="28" t="s">
        <v>71</v>
      </c>
      <c r="I134" s="26">
        <v>46170</v>
      </c>
      <c r="J134" s="18">
        <v>87.6</v>
      </c>
      <c r="K134" s="13">
        <f>TRUNC(J134)</f>
        <v>87</v>
      </c>
      <c r="L134" s="11"/>
      <c r="M134" s="11"/>
    </row>
    <row r="135" spans="1:13" s="1" customFormat="1" ht="30" customHeight="1" x14ac:dyDescent="0.25">
      <c r="A135" s="206"/>
      <c r="B135" s="202"/>
      <c r="C135" s="193"/>
      <c r="D135" s="191"/>
      <c r="E135" s="30" t="s">
        <v>203</v>
      </c>
      <c r="F135" s="28" t="s">
        <v>15</v>
      </c>
      <c r="G135" s="20" t="s">
        <v>16</v>
      </c>
      <c r="H135" s="19" t="s">
        <v>28</v>
      </c>
      <c r="I135" s="26">
        <v>46184</v>
      </c>
      <c r="J135" s="18">
        <v>46.8</v>
      </c>
      <c r="K135" s="13">
        <f>TRUNC(J135)</f>
        <v>46</v>
      </c>
      <c r="L135" s="31"/>
      <c r="M135" s="11" t="s">
        <v>204</v>
      </c>
    </row>
    <row r="136" spans="1:13" s="1" customFormat="1" ht="30" customHeight="1" x14ac:dyDescent="0.25">
      <c r="A136" s="206"/>
      <c r="B136" s="202"/>
      <c r="C136" s="193"/>
      <c r="D136" s="192"/>
      <c r="E136" s="11"/>
      <c r="F136" s="28"/>
      <c r="G136" s="21"/>
      <c r="H136" s="28"/>
      <c r="I136" s="26"/>
      <c r="J136" s="18"/>
      <c r="K136" s="13"/>
      <c r="L136" s="11"/>
      <c r="M136" s="11"/>
    </row>
    <row r="137" spans="1:13" s="1" customFormat="1" ht="30" customHeight="1" x14ac:dyDescent="0.25">
      <c r="A137" s="206">
        <v>51</v>
      </c>
      <c r="B137" s="202" t="s">
        <v>205</v>
      </c>
      <c r="C137" s="193">
        <v>2</v>
      </c>
      <c r="D137" s="189">
        <f>COUNTA(E137:E140)</f>
        <v>3</v>
      </c>
      <c r="E137" s="29" t="s">
        <v>206</v>
      </c>
      <c r="F137" s="19" t="s">
        <v>15</v>
      </c>
      <c r="G137" s="16" t="s">
        <v>16</v>
      </c>
      <c r="H137" s="19" t="s">
        <v>74</v>
      </c>
      <c r="I137" s="17">
        <v>45131</v>
      </c>
      <c r="J137" s="18">
        <f>C137/D137</f>
        <v>0.66666666666666663</v>
      </c>
      <c r="K137" s="13"/>
      <c r="L137" s="11"/>
      <c r="M137" s="11"/>
    </row>
    <row r="138" spans="1:13" s="1" customFormat="1" ht="30" customHeight="1" x14ac:dyDescent="0.25">
      <c r="A138" s="206"/>
      <c r="B138" s="202"/>
      <c r="C138" s="193"/>
      <c r="D138" s="190"/>
      <c r="E138" s="20" t="s">
        <v>207</v>
      </c>
      <c r="F138" s="28" t="s">
        <v>15</v>
      </c>
      <c r="G138" s="59" t="s">
        <v>64</v>
      </c>
      <c r="H138" s="28" t="s">
        <v>28</v>
      </c>
      <c r="I138" s="22">
        <v>46001</v>
      </c>
      <c r="J138" s="18">
        <f>C137/D137</f>
        <v>0.66666666666666663</v>
      </c>
      <c r="K138" s="13"/>
      <c r="L138" s="11"/>
      <c r="M138" s="11"/>
    </row>
    <row r="139" spans="1:13" s="1" customFormat="1" ht="30" customHeight="1" x14ac:dyDescent="0.25">
      <c r="A139" s="206"/>
      <c r="B139" s="202"/>
      <c r="C139" s="193"/>
      <c r="D139" s="190"/>
      <c r="E139" s="44"/>
      <c r="F139" s="28"/>
      <c r="G139" s="21"/>
      <c r="H139" s="28"/>
      <c r="I139" s="26"/>
      <c r="J139" s="18"/>
      <c r="K139" s="13"/>
      <c r="L139" s="11"/>
      <c r="M139" s="11"/>
    </row>
    <row r="140" spans="1:13" s="1" customFormat="1" ht="30" customHeight="1" x14ac:dyDescent="0.25">
      <c r="A140" s="206"/>
      <c r="B140" s="202"/>
      <c r="C140" s="193"/>
      <c r="D140" s="192"/>
      <c r="E140" s="30" t="s">
        <v>208</v>
      </c>
      <c r="F140" s="63" t="s">
        <v>15</v>
      </c>
      <c r="G140" s="73" t="s">
        <v>16</v>
      </c>
      <c r="H140" s="63" t="s">
        <v>67</v>
      </c>
      <c r="I140" s="32">
        <v>46204</v>
      </c>
      <c r="J140" s="18">
        <f>C137/D137</f>
        <v>0.66666666666666663</v>
      </c>
      <c r="K140" s="13"/>
      <c r="L140" s="11"/>
      <c r="M140" s="11"/>
    </row>
    <row r="141" spans="1:13" s="1" customFormat="1" ht="30" customHeight="1" x14ac:dyDescent="0.25">
      <c r="A141" s="206">
        <v>52</v>
      </c>
      <c r="B141" s="202" t="s">
        <v>209</v>
      </c>
      <c r="C141" s="193">
        <v>22</v>
      </c>
      <c r="D141" s="189">
        <f>COUNTA(E141:E144)</f>
        <v>4</v>
      </c>
      <c r="E141" s="15" t="s">
        <v>210</v>
      </c>
      <c r="F141" s="28" t="s">
        <v>15</v>
      </c>
      <c r="G141" s="21" t="s">
        <v>85</v>
      </c>
      <c r="H141" s="81" t="s">
        <v>211</v>
      </c>
      <c r="I141" s="26">
        <v>45421</v>
      </c>
      <c r="J141" s="18">
        <v>6.5</v>
      </c>
      <c r="K141" s="13">
        <f>TRUNC(J141)</f>
        <v>6</v>
      </c>
      <c r="L141" s="11"/>
      <c r="M141" s="11"/>
    </row>
    <row r="142" spans="1:13" s="1" customFormat="1" ht="30" customHeight="1" x14ac:dyDescent="0.25">
      <c r="A142" s="206"/>
      <c r="B142" s="202"/>
      <c r="C142" s="193"/>
      <c r="D142" s="190"/>
      <c r="E142" s="63" t="s">
        <v>212</v>
      </c>
      <c r="F142" s="28" t="s">
        <v>15</v>
      </c>
      <c r="G142" s="21" t="s">
        <v>27</v>
      </c>
      <c r="H142" s="15" t="s">
        <v>211</v>
      </c>
      <c r="I142" s="26">
        <v>45421</v>
      </c>
      <c r="J142" s="18">
        <v>6.5</v>
      </c>
      <c r="K142" s="13">
        <f>TRUNC(J142)</f>
        <v>6</v>
      </c>
      <c r="L142" s="11"/>
      <c r="M142" s="11"/>
    </row>
    <row r="143" spans="1:13" s="1" customFormat="1" ht="30" customHeight="1" x14ac:dyDescent="0.25">
      <c r="A143" s="206"/>
      <c r="B143" s="202"/>
      <c r="C143" s="193"/>
      <c r="D143" s="190"/>
      <c r="E143" s="28" t="s">
        <v>213</v>
      </c>
      <c r="F143" s="19" t="s">
        <v>15</v>
      </c>
      <c r="G143" s="16" t="s">
        <v>85</v>
      </c>
      <c r="H143" s="63"/>
      <c r="I143" s="26">
        <v>46083</v>
      </c>
      <c r="J143" s="18">
        <v>6.5</v>
      </c>
      <c r="K143" s="13">
        <f>TRUNC(J143)</f>
        <v>6</v>
      </c>
      <c r="L143" s="21"/>
      <c r="M143" s="11"/>
    </row>
    <row r="144" spans="1:13" s="1" customFormat="1" ht="30" customHeight="1" x14ac:dyDescent="0.25">
      <c r="A144" s="206"/>
      <c r="B144" s="202"/>
      <c r="C144" s="193"/>
      <c r="D144" s="191"/>
      <c r="E144" s="84" t="s">
        <v>214</v>
      </c>
      <c r="F144" s="19" t="s">
        <v>15</v>
      </c>
      <c r="G144" s="16" t="s">
        <v>85</v>
      </c>
      <c r="H144" s="15"/>
      <c r="I144" s="70">
        <v>46176</v>
      </c>
      <c r="J144" s="18">
        <v>4.5</v>
      </c>
      <c r="K144" s="13">
        <f>TRUNC(J144)</f>
        <v>4</v>
      </c>
      <c r="L144" s="11"/>
      <c r="M144" s="11" t="s">
        <v>215</v>
      </c>
    </row>
    <row r="145" spans="1:13" s="1" customFormat="1" ht="30" customHeight="1" x14ac:dyDescent="0.25">
      <c r="A145" s="206">
        <v>53</v>
      </c>
      <c r="B145" s="202" t="s">
        <v>216</v>
      </c>
      <c r="C145" s="193">
        <v>332</v>
      </c>
      <c r="D145" s="186">
        <f>COUNTA(E145:E146)</f>
        <v>2</v>
      </c>
      <c r="E145" s="15" t="s">
        <v>217</v>
      </c>
      <c r="F145" s="15" t="s">
        <v>15</v>
      </c>
      <c r="G145" s="16" t="s">
        <v>92</v>
      </c>
      <c r="H145" s="15" t="s">
        <v>28</v>
      </c>
      <c r="I145" s="17">
        <v>44958</v>
      </c>
      <c r="J145" s="18">
        <f>C145/D145</f>
        <v>166</v>
      </c>
      <c r="K145" s="13">
        <f t="shared" ref="K145:K151" si="2">TRUNC(J145)</f>
        <v>166</v>
      </c>
      <c r="L145" s="11"/>
      <c r="M145" s="11"/>
    </row>
    <row r="146" spans="1:13" s="1" customFormat="1" ht="30" customHeight="1" x14ac:dyDescent="0.25">
      <c r="A146" s="206"/>
      <c r="B146" s="202"/>
      <c r="C146" s="193"/>
      <c r="D146" s="187"/>
      <c r="E146" s="15" t="s">
        <v>218</v>
      </c>
      <c r="F146" s="15" t="s">
        <v>15</v>
      </c>
      <c r="G146" s="16" t="s">
        <v>92</v>
      </c>
      <c r="H146" s="15" t="s">
        <v>28</v>
      </c>
      <c r="I146" s="17">
        <v>44900</v>
      </c>
      <c r="J146" s="18">
        <f>C145/D145</f>
        <v>166</v>
      </c>
      <c r="K146" s="13">
        <f t="shared" si="2"/>
        <v>166</v>
      </c>
      <c r="L146" s="11"/>
      <c r="M146" s="11"/>
    </row>
    <row r="147" spans="1:13" s="1" customFormat="1" ht="30" customHeight="1" x14ac:dyDescent="0.25">
      <c r="A147" s="206">
        <v>54</v>
      </c>
      <c r="B147" s="202" t="s">
        <v>219</v>
      </c>
      <c r="C147" s="193">
        <v>186</v>
      </c>
      <c r="D147" s="186">
        <f>COUNTA(E147:E148)</f>
        <v>2</v>
      </c>
      <c r="E147" s="28" t="s">
        <v>220</v>
      </c>
      <c r="F147" s="28" t="s">
        <v>15</v>
      </c>
      <c r="G147" s="21" t="s">
        <v>85</v>
      </c>
      <c r="H147" s="15" t="s">
        <v>28</v>
      </c>
      <c r="I147" s="85" t="s">
        <v>221</v>
      </c>
      <c r="J147" s="18">
        <f>C147/D147</f>
        <v>93</v>
      </c>
      <c r="K147" s="13">
        <f t="shared" si="2"/>
        <v>93</v>
      </c>
      <c r="L147" s="21"/>
      <c r="M147" s="11" t="s">
        <v>222</v>
      </c>
    </row>
    <row r="148" spans="1:13" s="1" customFormat="1" ht="30" customHeight="1" x14ac:dyDescent="0.25">
      <c r="A148" s="206"/>
      <c r="B148" s="202"/>
      <c r="C148" s="193"/>
      <c r="D148" s="187"/>
      <c r="E148" s="15" t="s">
        <v>223</v>
      </c>
      <c r="F148" s="28" t="s">
        <v>15</v>
      </c>
      <c r="G148" s="21" t="s">
        <v>85</v>
      </c>
      <c r="H148" s="15" t="s">
        <v>28</v>
      </c>
      <c r="I148" s="85">
        <v>45841</v>
      </c>
      <c r="J148" s="18">
        <f>C147/D147</f>
        <v>93</v>
      </c>
      <c r="K148" s="13">
        <f t="shared" si="2"/>
        <v>93</v>
      </c>
      <c r="L148" s="16"/>
      <c r="M148" s="11"/>
    </row>
    <row r="149" spans="1:13" s="1" customFormat="1" ht="30" customHeight="1" x14ac:dyDescent="0.25">
      <c r="A149" s="206">
        <v>55</v>
      </c>
      <c r="B149" s="193" t="s">
        <v>224</v>
      </c>
      <c r="C149" s="193">
        <v>100</v>
      </c>
      <c r="D149" s="186">
        <f>COUNTA(E149:E150)</f>
        <v>2</v>
      </c>
      <c r="E149" s="15" t="s">
        <v>225</v>
      </c>
      <c r="F149" s="19" t="s">
        <v>15</v>
      </c>
      <c r="G149" s="16" t="s">
        <v>27</v>
      </c>
      <c r="H149" s="15" t="s">
        <v>28</v>
      </c>
      <c r="I149" s="17">
        <v>43969</v>
      </c>
      <c r="J149" s="18">
        <v>90</v>
      </c>
      <c r="K149" s="13">
        <f t="shared" si="2"/>
        <v>90</v>
      </c>
      <c r="L149" s="11"/>
      <c r="M149" s="11"/>
    </row>
    <row r="150" spans="1:13" s="1" customFormat="1" ht="30" customHeight="1" x14ac:dyDescent="0.25">
      <c r="A150" s="206"/>
      <c r="B150" s="193"/>
      <c r="C150" s="193"/>
      <c r="D150" s="187"/>
      <c r="E150" s="33" t="s">
        <v>226</v>
      </c>
      <c r="F150" s="28" t="s">
        <v>15</v>
      </c>
      <c r="G150" s="21" t="s">
        <v>85</v>
      </c>
      <c r="H150" s="15" t="s">
        <v>98</v>
      </c>
      <c r="I150" s="26">
        <v>46197</v>
      </c>
      <c r="J150" s="18">
        <v>10</v>
      </c>
      <c r="K150" s="13">
        <f t="shared" si="2"/>
        <v>10</v>
      </c>
      <c r="L150" s="11"/>
      <c r="M150" s="11" t="s">
        <v>227</v>
      </c>
    </row>
    <row r="151" spans="1:13" s="1" customFormat="1" ht="30" customHeight="1" x14ac:dyDescent="0.25">
      <c r="A151" s="206">
        <v>56</v>
      </c>
      <c r="B151" s="193" t="s">
        <v>228</v>
      </c>
      <c r="C151" s="193">
        <v>137</v>
      </c>
      <c r="D151" s="186">
        <f>COUNTA(E151:E152)</f>
        <v>2</v>
      </c>
      <c r="E151" s="61" t="s">
        <v>229</v>
      </c>
      <c r="F151" s="19" t="s">
        <v>15</v>
      </c>
      <c r="G151" s="16" t="s">
        <v>27</v>
      </c>
      <c r="H151" s="15" t="s">
        <v>28</v>
      </c>
      <c r="I151" s="17">
        <v>43300</v>
      </c>
      <c r="J151" s="18">
        <f>C151/D151</f>
        <v>68.5</v>
      </c>
      <c r="K151" s="13">
        <f t="shared" si="2"/>
        <v>68</v>
      </c>
      <c r="L151" s="11"/>
      <c r="M151" s="11"/>
    </row>
    <row r="152" spans="1:13" s="1" customFormat="1" ht="30" customHeight="1" x14ac:dyDescent="0.25">
      <c r="A152" s="206"/>
      <c r="B152" s="193"/>
      <c r="C152" s="193"/>
      <c r="D152" s="187"/>
      <c r="E152" s="15" t="s">
        <v>230</v>
      </c>
      <c r="F152" s="19" t="s">
        <v>15</v>
      </c>
      <c r="G152" s="16" t="s">
        <v>27</v>
      </c>
      <c r="H152" s="15" t="s">
        <v>28</v>
      </c>
      <c r="I152" s="17">
        <v>43990</v>
      </c>
      <c r="J152" s="18">
        <f>C151/D151</f>
        <v>68.5</v>
      </c>
      <c r="K152" s="13">
        <f t="shared" ref="K152:K178" si="3">TRUNC(J152)</f>
        <v>68</v>
      </c>
      <c r="L152" s="11"/>
      <c r="M152" s="11"/>
    </row>
    <row r="153" spans="1:13" s="1" customFormat="1" ht="30" customHeight="1" x14ac:dyDescent="0.25">
      <c r="A153" s="206">
        <v>57</v>
      </c>
      <c r="B153" s="193" t="s">
        <v>231</v>
      </c>
      <c r="C153" s="193">
        <v>0</v>
      </c>
      <c r="D153" s="186">
        <f>COUNTA(E153:E154)</f>
        <v>2</v>
      </c>
      <c r="E153" s="15" t="s">
        <v>232</v>
      </c>
      <c r="F153" s="19" t="s">
        <v>15</v>
      </c>
      <c r="G153" s="16" t="s">
        <v>27</v>
      </c>
      <c r="H153" s="15" t="s">
        <v>28</v>
      </c>
      <c r="I153" s="17">
        <v>44010</v>
      </c>
      <c r="J153" s="18">
        <f>C153/D153</f>
        <v>0</v>
      </c>
      <c r="K153" s="13"/>
      <c r="L153" s="11"/>
      <c r="M153" s="11"/>
    </row>
    <row r="154" spans="1:13" s="1" customFormat="1" ht="30" customHeight="1" x14ac:dyDescent="0.25">
      <c r="A154" s="206"/>
      <c r="B154" s="193"/>
      <c r="C154" s="193"/>
      <c r="D154" s="187"/>
      <c r="E154" s="61" t="s">
        <v>233</v>
      </c>
      <c r="F154" s="19" t="s">
        <v>15</v>
      </c>
      <c r="G154" s="16" t="s">
        <v>27</v>
      </c>
      <c r="H154" s="15" t="s">
        <v>28</v>
      </c>
      <c r="I154" s="17">
        <v>43944</v>
      </c>
      <c r="J154" s="18">
        <f>C153/D153</f>
        <v>0</v>
      </c>
      <c r="K154" s="13"/>
      <c r="L154" s="11"/>
      <c r="M154" s="11"/>
    </row>
    <row r="155" spans="1:13" s="1" customFormat="1" ht="30" customHeight="1" x14ac:dyDescent="0.25">
      <c r="A155" s="206">
        <v>58</v>
      </c>
      <c r="B155" s="193" t="s">
        <v>234</v>
      </c>
      <c r="C155" s="193">
        <v>133</v>
      </c>
      <c r="D155" s="186">
        <f>COUNTA(E155:E156)</f>
        <v>2</v>
      </c>
      <c r="E155" s="11" t="s">
        <v>235</v>
      </c>
      <c r="F155" s="28" t="s">
        <v>15</v>
      </c>
      <c r="G155" s="21" t="s">
        <v>27</v>
      </c>
      <c r="H155" s="15" t="s">
        <v>28</v>
      </c>
      <c r="I155" s="26">
        <v>45747</v>
      </c>
      <c r="J155" s="18">
        <f>C155/D155</f>
        <v>66.5</v>
      </c>
      <c r="K155" s="13">
        <f t="shared" si="3"/>
        <v>66</v>
      </c>
      <c r="L155" s="45"/>
      <c r="M155" s="45"/>
    </row>
    <row r="156" spans="1:13" s="1" customFormat="1" ht="30" customHeight="1" x14ac:dyDescent="0.25">
      <c r="A156" s="206"/>
      <c r="B156" s="193"/>
      <c r="C156" s="193"/>
      <c r="D156" s="187"/>
      <c r="E156" s="15" t="s">
        <v>236</v>
      </c>
      <c r="F156" s="19" t="s">
        <v>15</v>
      </c>
      <c r="G156" s="16" t="s">
        <v>27</v>
      </c>
      <c r="H156" s="15" t="s">
        <v>28</v>
      </c>
      <c r="I156" s="17">
        <v>44018</v>
      </c>
      <c r="J156" s="18">
        <f>C155/D155</f>
        <v>66.5</v>
      </c>
      <c r="K156" s="13">
        <f t="shared" si="3"/>
        <v>66</v>
      </c>
      <c r="L156" s="11"/>
      <c r="M156" s="11"/>
    </row>
    <row r="157" spans="1:13" s="1" customFormat="1" ht="30" customHeight="1" x14ac:dyDescent="0.25">
      <c r="A157" s="206">
        <v>59</v>
      </c>
      <c r="B157" s="193" t="s">
        <v>237</v>
      </c>
      <c r="C157" s="193">
        <v>272</v>
      </c>
      <c r="D157" s="186">
        <f>COUNTA(E157:E158)</f>
        <v>2</v>
      </c>
      <c r="E157" s="19" t="s">
        <v>238</v>
      </c>
      <c r="F157" s="19" t="s">
        <v>15</v>
      </c>
      <c r="G157" s="16" t="s">
        <v>27</v>
      </c>
      <c r="H157" s="15" t="s">
        <v>28</v>
      </c>
      <c r="I157" s="17">
        <v>44515</v>
      </c>
      <c r="J157" s="18">
        <f>C157/D157</f>
        <v>136</v>
      </c>
      <c r="K157" s="13">
        <f t="shared" si="3"/>
        <v>136</v>
      </c>
      <c r="L157" s="11"/>
      <c r="M157" s="11"/>
    </row>
    <row r="158" spans="1:13" s="1" customFormat="1" ht="30" customHeight="1" x14ac:dyDescent="0.25">
      <c r="A158" s="206"/>
      <c r="B158" s="193"/>
      <c r="C158" s="193"/>
      <c r="D158" s="187"/>
      <c r="E158" s="21" t="s">
        <v>239</v>
      </c>
      <c r="F158" s="28" t="s">
        <v>15</v>
      </c>
      <c r="G158" s="21" t="s">
        <v>85</v>
      </c>
      <c r="H158" s="15" t="s">
        <v>28</v>
      </c>
      <c r="I158" s="70">
        <v>45957</v>
      </c>
      <c r="J158" s="18">
        <f>C157/D157</f>
        <v>136</v>
      </c>
      <c r="K158" s="13">
        <f t="shared" si="3"/>
        <v>136</v>
      </c>
      <c r="L158" s="52"/>
      <c r="M158" s="11"/>
    </row>
    <row r="159" spans="1:13" s="1" customFormat="1" ht="30" customHeight="1" x14ac:dyDescent="0.25">
      <c r="A159" s="206">
        <v>60</v>
      </c>
      <c r="B159" s="193" t="s">
        <v>240</v>
      </c>
      <c r="C159" s="193">
        <v>28</v>
      </c>
      <c r="D159" s="186">
        <f>COUNTA(E159:E160)</f>
        <v>2</v>
      </c>
      <c r="E159" s="21" t="s">
        <v>241</v>
      </c>
      <c r="F159" s="28" t="s">
        <v>15</v>
      </c>
      <c r="G159" s="21" t="s">
        <v>27</v>
      </c>
      <c r="H159" s="15" t="s">
        <v>28</v>
      </c>
      <c r="I159" s="15"/>
      <c r="J159" s="18">
        <f>C159/D159</f>
        <v>14</v>
      </c>
      <c r="K159" s="13">
        <f t="shared" si="3"/>
        <v>14</v>
      </c>
      <c r="L159" s="86"/>
      <c r="M159" s="11"/>
    </row>
    <row r="160" spans="1:13" s="1" customFormat="1" ht="30" customHeight="1" x14ac:dyDescent="0.25">
      <c r="A160" s="206"/>
      <c r="B160" s="193"/>
      <c r="C160" s="193"/>
      <c r="D160" s="187"/>
      <c r="E160" s="15" t="s">
        <v>242</v>
      </c>
      <c r="F160" s="15" t="s">
        <v>15</v>
      </c>
      <c r="G160" s="16" t="s">
        <v>27</v>
      </c>
      <c r="H160" s="15" t="s">
        <v>28</v>
      </c>
      <c r="I160" s="17">
        <v>44754</v>
      </c>
      <c r="J160" s="18">
        <f>C159/D159</f>
        <v>14</v>
      </c>
      <c r="K160" s="13">
        <f t="shared" si="3"/>
        <v>14</v>
      </c>
      <c r="L160" s="11"/>
      <c r="M160" s="11"/>
    </row>
    <row r="161" spans="1:13" s="1" customFormat="1" ht="30" customHeight="1" x14ac:dyDescent="0.25">
      <c r="A161" s="206">
        <v>61</v>
      </c>
      <c r="B161" s="193" t="s">
        <v>243</v>
      </c>
      <c r="C161" s="193">
        <v>47</v>
      </c>
      <c r="D161" s="186">
        <f>COUNTA(E161:E162)</f>
        <v>2</v>
      </c>
      <c r="E161" s="19" t="s">
        <v>244</v>
      </c>
      <c r="F161" s="19" t="s">
        <v>15</v>
      </c>
      <c r="G161" s="16" t="s">
        <v>27</v>
      </c>
      <c r="H161" s="15" t="s">
        <v>28</v>
      </c>
      <c r="I161" s="17">
        <v>44348</v>
      </c>
      <c r="J161" s="18">
        <f>C161/D161</f>
        <v>23.5</v>
      </c>
      <c r="K161" s="13">
        <f t="shared" si="3"/>
        <v>23</v>
      </c>
      <c r="L161" s="11"/>
      <c r="M161" s="11"/>
    </row>
    <row r="162" spans="1:13" s="1" customFormat="1" ht="30" customHeight="1" x14ac:dyDescent="0.25">
      <c r="A162" s="206"/>
      <c r="B162" s="193"/>
      <c r="C162" s="193"/>
      <c r="D162" s="187"/>
      <c r="E162" s="20" t="s">
        <v>245</v>
      </c>
      <c r="F162" s="28" t="s">
        <v>15</v>
      </c>
      <c r="G162" s="21" t="s">
        <v>85</v>
      </c>
      <c r="H162" s="15" t="s">
        <v>28</v>
      </c>
      <c r="I162" s="22">
        <v>46139</v>
      </c>
      <c r="J162" s="18">
        <f>C161/D161</f>
        <v>23.5</v>
      </c>
      <c r="K162" s="13">
        <f t="shared" si="3"/>
        <v>23</v>
      </c>
      <c r="L162" s="11"/>
      <c r="M162" s="11"/>
    </row>
    <row r="163" spans="1:13" s="1" customFormat="1" ht="30" customHeight="1" x14ac:dyDescent="0.25">
      <c r="A163" s="206">
        <v>62</v>
      </c>
      <c r="B163" s="193" t="s">
        <v>246</v>
      </c>
      <c r="C163" s="193">
        <v>56</v>
      </c>
      <c r="D163" s="186">
        <f>COUNTA(E163:E164)</f>
        <v>2</v>
      </c>
      <c r="E163" s="15" t="s">
        <v>247</v>
      </c>
      <c r="F163" s="19" t="s">
        <v>15</v>
      </c>
      <c r="G163" s="16" t="s">
        <v>27</v>
      </c>
      <c r="H163" s="15" t="s">
        <v>28</v>
      </c>
      <c r="I163" s="17">
        <v>44010</v>
      </c>
      <c r="J163" s="18">
        <f>C163/D163</f>
        <v>28</v>
      </c>
      <c r="K163" s="13">
        <f t="shared" si="3"/>
        <v>28</v>
      </c>
      <c r="L163" s="11"/>
      <c r="M163" s="11"/>
    </row>
    <row r="164" spans="1:13" s="1" customFormat="1" ht="30" customHeight="1" x14ac:dyDescent="0.25">
      <c r="A164" s="206"/>
      <c r="B164" s="193"/>
      <c r="C164" s="193"/>
      <c r="D164" s="187"/>
      <c r="E164" s="15" t="s">
        <v>248</v>
      </c>
      <c r="F164" s="19" t="s">
        <v>15</v>
      </c>
      <c r="G164" s="16" t="s">
        <v>27</v>
      </c>
      <c r="H164" s="15" t="s">
        <v>28</v>
      </c>
      <c r="I164" s="17">
        <v>44018</v>
      </c>
      <c r="J164" s="18">
        <f>C163/D163</f>
        <v>28</v>
      </c>
      <c r="K164" s="13">
        <f t="shared" si="3"/>
        <v>28</v>
      </c>
      <c r="L164" s="11"/>
      <c r="M164" s="11"/>
    </row>
    <row r="165" spans="1:13" s="1" customFormat="1" ht="30" customHeight="1" x14ac:dyDescent="0.25">
      <c r="A165" s="206">
        <v>63</v>
      </c>
      <c r="B165" s="193" t="s">
        <v>249</v>
      </c>
      <c r="C165" s="193">
        <v>9</v>
      </c>
      <c r="D165" s="186">
        <f>COUNTA(E165:E166)</f>
        <v>2</v>
      </c>
      <c r="E165" s="15" t="s">
        <v>250</v>
      </c>
      <c r="F165" s="19" t="s">
        <v>15</v>
      </c>
      <c r="G165" s="16" t="s">
        <v>27</v>
      </c>
      <c r="H165" s="15" t="s">
        <v>28</v>
      </c>
      <c r="I165" s="17">
        <v>42917</v>
      </c>
      <c r="J165" s="18">
        <f>C165/D165</f>
        <v>4.5</v>
      </c>
      <c r="K165" s="13">
        <f t="shared" si="3"/>
        <v>4</v>
      </c>
      <c r="L165" s="11"/>
      <c r="M165" s="11"/>
    </row>
    <row r="166" spans="1:13" s="1" customFormat="1" ht="30" customHeight="1" x14ac:dyDescent="0.25">
      <c r="A166" s="206"/>
      <c r="B166" s="193"/>
      <c r="C166" s="193"/>
      <c r="D166" s="187"/>
      <c r="E166" s="15" t="s">
        <v>251</v>
      </c>
      <c r="F166" s="28" t="s">
        <v>15</v>
      </c>
      <c r="G166" s="21" t="s">
        <v>85</v>
      </c>
      <c r="H166" s="15" t="s">
        <v>28</v>
      </c>
      <c r="I166" s="83">
        <v>45904</v>
      </c>
      <c r="J166" s="18">
        <f>C165/D165</f>
        <v>4.5</v>
      </c>
      <c r="K166" s="13">
        <f t="shared" si="3"/>
        <v>4</v>
      </c>
      <c r="L166" s="23"/>
      <c r="M166" s="11" t="s">
        <v>222</v>
      </c>
    </row>
    <row r="167" spans="1:13" s="1" customFormat="1" ht="30" customHeight="1" x14ac:dyDescent="0.25">
      <c r="A167" s="206">
        <v>64</v>
      </c>
      <c r="B167" s="193" t="s">
        <v>252</v>
      </c>
      <c r="C167" s="193">
        <v>0</v>
      </c>
      <c r="D167" s="186">
        <f>COUNTA(E167:E168)</f>
        <v>2</v>
      </c>
      <c r="E167" s="16" t="s">
        <v>253</v>
      </c>
      <c r="F167" s="19" t="s">
        <v>15</v>
      </c>
      <c r="G167" s="16" t="s">
        <v>85</v>
      </c>
      <c r="H167" s="19" t="s">
        <v>28</v>
      </c>
      <c r="I167" s="39">
        <v>46112</v>
      </c>
      <c r="J167" s="18">
        <f>C167/D167</f>
        <v>0</v>
      </c>
      <c r="K167" s="13"/>
      <c r="L167" s="20"/>
      <c r="M167" s="20"/>
    </row>
    <row r="168" spans="1:13" s="1" customFormat="1" ht="30" customHeight="1" x14ac:dyDescent="0.25">
      <c r="A168" s="206"/>
      <c r="B168" s="193"/>
      <c r="C168" s="193"/>
      <c r="D168" s="187"/>
      <c r="E168" s="15" t="s">
        <v>254</v>
      </c>
      <c r="F168" s="19" t="s">
        <v>15</v>
      </c>
      <c r="G168" s="16" t="s">
        <v>27</v>
      </c>
      <c r="H168" s="15" t="s">
        <v>28</v>
      </c>
      <c r="I168" s="17">
        <v>44433</v>
      </c>
      <c r="J168" s="18">
        <f>C167/D167</f>
        <v>0</v>
      </c>
      <c r="K168" s="13"/>
      <c r="L168" s="11"/>
      <c r="M168" s="11"/>
    </row>
    <row r="169" spans="1:13" s="1" customFormat="1" ht="30" customHeight="1" x14ac:dyDescent="0.25">
      <c r="A169" s="206">
        <v>65</v>
      </c>
      <c r="B169" s="193" t="s">
        <v>255</v>
      </c>
      <c r="C169" s="193">
        <v>82</v>
      </c>
      <c r="D169" s="186">
        <f>COUNTA(E169:E170)</f>
        <v>2</v>
      </c>
      <c r="E169" s="19" t="s">
        <v>256</v>
      </c>
      <c r="F169" s="19" t="s">
        <v>19</v>
      </c>
      <c r="G169" s="16" t="s">
        <v>85</v>
      </c>
      <c r="H169" s="19" t="s">
        <v>28</v>
      </c>
      <c r="I169" s="19" t="s">
        <v>257</v>
      </c>
      <c r="J169" s="18">
        <f>C169/D169</f>
        <v>41</v>
      </c>
      <c r="K169" s="13">
        <f t="shared" si="3"/>
        <v>41</v>
      </c>
      <c r="L169" s="16"/>
      <c r="M169" s="11" t="s">
        <v>222</v>
      </c>
    </row>
    <row r="170" spans="1:13" s="1" customFormat="1" ht="30" customHeight="1" x14ac:dyDescent="0.25">
      <c r="A170" s="206"/>
      <c r="B170" s="193"/>
      <c r="C170" s="193"/>
      <c r="D170" s="187"/>
      <c r="E170" s="15" t="s">
        <v>258</v>
      </c>
      <c r="F170" s="19" t="s">
        <v>19</v>
      </c>
      <c r="G170" s="16" t="s">
        <v>27</v>
      </c>
      <c r="H170" s="15" t="s">
        <v>28</v>
      </c>
      <c r="I170" s="17">
        <v>44379</v>
      </c>
      <c r="J170" s="18">
        <f>C169/D169</f>
        <v>41</v>
      </c>
      <c r="K170" s="13">
        <f t="shared" si="3"/>
        <v>41</v>
      </c>
      <c r="L170" s="11"/>
      <c r="M170" s="11"/>
    </row>
    <row r="171" spans="1:13" s="1" customFormat="1" ht="30" customHeight="1" x14ac:dyDescent="0.25">
      <c r="A171" s="206">
        <v>66</v>
      </c>
      <c r="B171" s="193" t="s">
        <v>259</v>
      </c>
      <c r="C171" s="193">
        <v>48</v>
      </c>
      <c r="D171" s="186">
        <f>COUNTA(E171:E172)</f>
        <v>2</v>
      </c>
      <c r="E171" s="21" t="s">
        <v>260</v>
      </c>
      <c r="F171" s="28" t="s">
        <v>19</v>
      </c>
      <c r="G171" s="21" t="s">
        <v>85</v>
      </c>
      <c r="H171" s="87" t="s">
        <v>28</v>
      </c>
      <c r="I171" s="26">
        <v>46113</v>
      </c>
      <c r="J171" s="18">
        <f>C171/D171</f>
        <v>24</v>
      </c>
      <c r="K171" s="13">
        <f t="shared" si="3"/>
        <v>24</v>
      </c>
      <c r="L171" s="23"/>
      <c r="M171" s="23"/>
    </row>
    <row r="172" spans="1:13" s="1" customFormat="1" ht="30" customHeight="1" x14ac:dyDescent="0.25">
      <c r="A172" s="206"/>
      <c r="B172" s="193"/>
      <c r="C172" s="193"/>
      <c r="D172" s="187"/>
      <c r="E172" s="15" t="s">
        <v>261</v>
      </c>
      <c r="F172" s="15" t="s">
        <v>19</v>
      </c>
      <c r="G172" s="16" t="s">
        <v>85</v>
      </c>
      <c r="H172" s="15" t="s">
        <v>28</v>
      </c>
      <c r="I172" s="83">
        <v>45837</v>
      </c>
      <c r="J172" s="18">
        <f>C171/D171</f>
        <v>24</v>
      </c>
      <c r="K172" s="13">
        <f t="shared" si="3"/>
        <v>24</v>
      </c>
      <c r="L172" s="11"/>
      <c r="M172" s="11"/>
    </row>
    <row r="173" spans="1:13" s="1" customFormat="1" ht="30" customHeight="1" x14ac:dyDescent="0.25">
      <c r="A173" s="206">
        <v>67</v>
      </c>
      <c r="B173" s="193" t="s">
        <v>262</v>
      </c>
      <c r="C173" s="193">
        <v>0</v>
      </c>
      <c r="D173" s="186">
        <f>COUNTA(E173:E174)</f>
        <v>2</v>
      </c>
      <c r="E173" s="21" t="s">
        <v>263</v>
      </c>
      <c r="F173" s="21" t="s">
        <v>19</v>
      </c>
      <c r="G173" s="21" t="s">
        <v>16</v>
      </c>
      <c r="H173" s="19" t="s">
        <v>71</v>
      </c>
      <c r="I173" s="26">
        <v>46083</v>
      </c>
      <c r="J173" s="18">
        <f>C173/D173</f>
        <v>0</v>
      </c>
      <c r="K173" s="13"/>
      <c r="L173" s="11"/>
      <c r="M173" s="11"/>
    </row>
    <row r="174" spans="1:13" s="1" customFormat="1" ht="30" customHeight="1" x14ac:dyDescent="0.25">
      <c r="A174" s="206"/>
      <c r="B174" s="193"/>
      <c r="C174" s="193"/>
      <c r="D174" s="187"/>
      <c r="E174" s="61" t="s">
        <v>264</v>
      </c>
      <c r="F174" s="19" t="s">
        <v>19</v>
      </c>
      <c r="G174" s="16" t="s">
        <v>27</v>
      </c>
      <c r="H174" s="15" t="s">
        <v>28</v>
      </c>
      <c r="I174" s="17">
        <v>42430</v>
      </c>
      <c r="J174" s="18">
        <f>C173/D173</f>
        <v>0</v>
      </c>
      <c r="K174" s="13"/>
      <c r="L174" s="11"/>
      <c r="M174" s="11"/>
    </row>
    <row r="175" spans="1:13" s="1" customFormat="1" ht="30" customHeight="1" x14ac:dyDescent="0.25">
      <c r="A175" s="206">
        <v>68</v>
      </c>
      <c r="B175" s="193" t="s">
        <v>265</v>
      </c>
      <c r="C175" s="193">
        <v>189</v>
      </c>
      <c r="D175" s="186">
        <f>COUNTA(E175:E176)</f>
        <v>2</v>
      </c>
      <c r="E175" s="68" t="s">
        <v>266</v>
      </c>
      <c r="F175" s="68" t="s">
        <v>19</v>
      </c>
      <c r="G175" s="16" t="s">
        <v>27</v>
      </c>
      <c r="H175" s="67" t="s">
        <v>28</v>
      </c>
      <c r="I175" s="26" t="s">
        <v>267</v>
      </c>
      <c r="J175" s="18">
        <f>C175/D175</f>
        <v>94.5</v>
      </c>
      <c r="K175" s="13">
        <f t="shared" si="3"/>
        <v>94</v>
      </c>
      <c r="L175" s="11"/>
      <c r="M175" s="11"/>
    </row>
    <row r="176" spans="1:13" s="1" customFormat="1" ht="30" customHeight="1" x14ac:dyDescent="0.25">
      <c r="A176" s="206"/>
      <c r="B176" s="193"/>
      <c r="C176" s="193"/>
      <c r="D176" s="187"/>
      <c r="E176" s="28" t="s">
        <v>268</v>
      </c>
      <c r="F176" s="28" t="s">
        <v>19</v>
      </c>
      <c r="G176" s="21" t="s">
        <v>16</v>
      </c>
      <c r="H176" s="19" t="s">
        <v>71</v>
      </c>
      <c r="I176" s="26">
        <v>45915</v>
      </c>
      <c r="J176" s="18">
        <f>C175/D175</f>
        <v>94.5</v>
      </c>
      <c r="K176" s="13">
        <f t="shared" si="3"/>
        <v>94</v>
      </c>
      <c r="L176" s="11"/>
      <c r="M176" s="11"/>
    </row>
    <row r="177" spans="1:13" s="1" customFormat="1" ht="30" customHeight="1" x14ac:dyDescent="0.25">
      <c r="A177" s="206">
        <v>69</v>
      </c>
      <c r="B177" s="193" t="s">
        <v>269</v>
      </c>
      <c r="C177" s="193">
        <v>34</v>
      </c>
      <c r="D177" s="186">
        <f>COUNTA(E177:E178)</f>
        <v>2</v>
      </c>
      <c r="E177" s="15" t="s">
        <v>270</v>
      </c>
      <c r="F177" s="19" t="s">
        <v>19</v>
      </c>
      <c r="G177" s="16" t="s">
        <v>27</v>
      </c>
      <c r="H177" s="15" t="s">
        <v>28</v>
      </c>
      <c r="I177" s="17">
        <v>43535</v>
      </c>
      <c r="J177" s="18">
        <f>C177/D177</f>
        <v>17</v>
      </c>
      <c r="K177" s="13">
        <f t="shared" si="3"/>
        <v>17</v>
      </c>
      <c r="L177" s="11"/>
      <c r="M177" s="11"/>
    </row>
    <row r="178" spans="1:13" s="1" customFormat="1" ht="30" customHeight="1" x14ac:dyDescent="0.25">
      <c r="A178" s="206"/>
      <c r="B178" s="193"/>
      <c r="C178" s="193"/>
      <c r="D178" s="187"/>
      <c r="E178" s="28" t="s">
        <v>271</v>
      </c>
      <c r="F178" s="28" t="s">
        <v>19</v>
      </c>
      <c r="G178" s="21" t="s">
        <v>27</v>
      </c>
      <c r="H178" s="19" t="s">
        <v>28</v>
      </c>
      <c r="I178" s="26">
        <v>45482</v>
      </c>
      <c r="J178" s="18">
        <f>C177/D177</f>
        <v>17</v>
      </c>
      <c r="K178" s="13">
        <f t="shared" si="3"/>
        <v>17</v>
      </c>
      <c r="L178" s="11"/>
      <c r="M178" s="11"/>
    </row>
    <row r="179" spans="1:13" s="1" customFormat="1" ht="30" customHeight="1" x14ac:dyDescent="0.25">
      <c r="A179" s="206">
        <v>70</v>
      </c>
      <c r="B179" s="193" t="s">
        <v>272</v>
      </c>
      <c r="C179" s="193">
        <v>0</v>
      </c>
      <c r="D179" s="186">
        <f>COUNTA(E179:E180)</f>
        <v>2</v>
      </c>
      <c r="E179" s="19" t="s">
        <v>273</v>
      </c>
      <c r="F179" s="19" t="s">
        <v>19</v>
      </c>
      <c r="G179" s="16" t="s">
        <v>27</v>
      </c>
      <c r="H179" s="15" t="s">
        <v>28</v>
      </c>
      <c r="I179" s="17">
        <v>43913</v>
      </c>
      <c r="J179" s="18">
        <f>C179/D179</f>
        <v>0</v>
      </c>
      <c r="K179" s="13"/>
      <c r="L179" s="11"/>
      <c r="M179" s="11"/>
    </row>
    <row r="180" spans="1:13" s="1" customFormat="1" ht="30" customHeight="1" x14ac:dyDescent="0.25">
      <c r="A180" s="206"/>
      <c r="B180" s="193"/>
      <c r="C180" s="193"/>
      <c r="D180" s="187"/>
      <c r="E180" s="61" t="s">
        <v>274</v>
      </c>
      <c r="F180" s="19" t="s">
        <v>19</v>
      </c>
      <c r="G180" s="16" t="s">
        <v>27</v>
      </c>
      <c r="H180" s="15" t="s">
        <v>28</v>
      </c>
      <c r="I180" s="17">
        <v>44019</v>
      </c>
      <c r="J180" s="18">
        <f>C179/D179</f>
        <v>0</v>
      </c>
      <c r="K180" s="13"/>
      <c r="L180" s="11"/>
      <c r="M180" s="11"/>
    </row>
    <row r="181" spans="1:13" s="1" customFormat="1" ht="30" customHeight="1" x14ac:dyDescent="0.25">
      <c r="A181" s="206">
        <v>71</v>
      </c>
      <c r="B181" s="193" t="s">
        <v>275</v>
      </c>
      <c r="C181" s="193">
        <v>0</v>
      </c>
      <c r="D181" s="186">
        <f>COUNTA(E181:E182)</f>
        <v>2</v>
      </c>
      <c r="E181" s="19" t="s">
        <v>276</v>
      </c>
      <c r="F181" s="28" t="s">
        <v>19</v>
      </c>
      <c r="G181" s="21" t="s">
        <v>85</v>
      </c>
      <c r="H181" s="28" t="s">
        <v>98</v>
      </c>
      <c r="I181" s="26">
        <v>46132</v>
      </c>
      <c r="J181" s="18">
        <f>C181/D181</f>
        <v>0</v>
      </c>
      <c r="K181" s="13"/>
      <c r="L181" s="11"/>
      <c r="M181" s="11"/>
    </row>
    <row r="182" spans="1:13" s="1" customFormat="1" ht="30" customHeight="1" x14ac:dyDescent="0.25">
      <c r="A182" s="206"/>
      <c r="B182" s="193"/>
      <c r="C182" s="193"/>
      <c r="D182" s="187"/>
      <c r="E182" s="28" t="s">
        <v>277</v>
      </c>
      <c r="F182" s="28" t="s">
        <v>19</v>
      </c>
      <c r="G182" s="21" t="s">
        <v>85</v>
      </c>
      <c r="H182" s="19" t="s">
        <v>28</v>
      </c>
      <c r="I182" s="26">
        <v>45955</v>
      </c>
      <c r="J182" s="18">
        <f>C181/D181</f>
        <v>0</v>
      </c>
      <c r="K182" s="13"/>
      <c r="L182" s="11"/>
      <c r="M182" s="11"/>
    </row>
    <row r="183" spans="1:13" s="1" customFormat="1" ht="30" customHeight="1" x14ac:dyDescent="0.25">
      <c r="A183" s="206">
        <v>72</v>
      </c>
      <c r="B183" s="193" t="s">
        <v>278</v>
      </c>
      <c r="C183" s="193">
        <v>0</v>
      </c>
      <c r="D183" s="186">
        <f>COUNTA(E183:E184)</f>
        <v>2</v>
      </c>
      <c r="E183" s="15" t="s">
        <v>279</v>
      </c>
      <c r="F183" s="19" t="s">
        <v>19</v>
      </c>
      <c r="G183" s="16" t="s">
        <v>280</v>
      </c>
      <c r="H183" s="15" t="s">
        <v>28</v>
      </c>
      <c r="I183" s="17">
        <v>43550</v>
      </c>
      <c r="J183" s="18">
        <f>C183/D183</f>
        <v>0</v>
      </c>
      <c r="K183" s="13"/>
      <c r="L183" s="11"/>
      <c r="M183" s="11"/>
    </row>
    <row r="184" spans="1:13" s="1" customFormat="1" ht="30" customHeight="1" x14ac:dyDescent="0.25">
      <c r="A184" s="206"/>
      <c r="B184" s="193"/>
      <c r="C184" s="193"/>
      <c r="D184" s="187"/>
      <c r="E184" s="19" t="s">
        <v>281</v>
      </c>
      <c r="F184" s="19" t="s">
        <v>19</v>
      </c>
      <c r="G184" s="16" t="s">
        <v>27</v>
      </c>
      <c r="H184" s="15" t="s">
        <v>28</v>
      </c>
      <c r="I184" s="17">
        <v>44025</v>
      </c>
      <c r="J184" s="18">
        <f>C183/D183</f>
        <v>0</v>
      </c>
      <c r="K184" s="13"/>
      <c r="L184" s="11"/>
      <c r="M184" s="11"/>
    </row>
    <row r="185" spans="1:13" s="1" customFormat="1" ht="30" customHeight="1" x14ac:dyDescent="0.25">
      <c r="A185" s="206">
        <v>73</v>
      </c>
      <c r="B185" s="193" t="s">
        <v>282</v>
      </c>
      <c r="C185" s="193">
        <v>70</v>
      </c>
      <c r="D185" s="186">
        <f>COUNTA(E185:E186)</f>
        <v>2</v>
      </c>
      <c r="E185" s="15" t="s">
        <v>283</v>
      </c>
      <c r="F185" s="19" t="s">
        <v>15</v>
      </c>
      <c r="G185" s="16" t="s">
        <v>92</v>
      </c>
      <c r="H185" s="15" t="s">
        <v>28</v>
      </c>
      <c r="I185" s="17">
        <v>41401</v>
      </c>
      <c r="J185" s="18">
        <f>C185/D185</f>
        <v>35</v>
      </c>
      <c r="K185" s="13">
        <f t="shared" ref="K185:K215" si="4">TRUNC(J185)</f>
        <v>35</v>
      </c>
      <c r="L185" s="11"/>
      <c r="M185" s="11"/>
    </row>
    <row r="186" spans="1:13" s="1" customFormat="1" ht="30" customHeight="1" x14ac:dyDescent="0.25">
      <c r="A186" s="206"/>
      <c r="B186" s="193"/>
      <c r="C186" s="193"/>
      <c r="D186" s="187"/>
      <c r="E186" s="61" t="s">
        <v>284</v>
      </c>
      <c r="F186" s="19" t="s">
        <v>15</v>
      </c>
      <c r="G186" s="16" t="s">
        <v>16</v>
      </c>
      <c r="H186" s="15" t="s">
        <v>28</v>
      </c>
      <c r="I186" s="17">
        <v>42035</v>
      </c>
      <c r="J186" s="18">
        <f>C185/D185</f>
        <v>35</v>
      </c>
      <c r="K186" s="13">
        <f t="shared" si="4"/>
        <v>35</v>
      </c>
      <c r="L186" s="11"/>
      <c r="M186" s="11"/>
    </row>
    <row r="187" spans="1:13" s="1" customFormat="1" ht="30" customHeight="1" x14ac:dyDescent="0.25">
      <c r="A187" s="206">
        <v>74</v>
      </c>
      <c r="B187" s="193" t="s">
        <v>285</v>
      </c>
      <c r="C187" s="193">
        <v>332</v>
      </c>
      <c r="D187" s="186">
        <f>COUNTA(E187:E188)</f>
        <v>2</v>
      </c>
      <c r="E187" s="15" t="s">
        <v>286</v>
      </c>
      <c r="F187" s="19" t="s">
        <v>15</v>
      </c>
      <c r="G187" s="16" t="s">
        <v>92</v>
      </c>
      <c r="H187" s="15" t="s">
        <v>28</v>
      </c>
      <c r="I187" s="17">
        <v>43222</v>
      </c>
      <c r="J187" s="18">
        <f>C187/D187</f>
        <v>166</v>
      </c>
      <c r="K187" s="13">
        <f t="shared" si="4"/>
        <v>166</v>
      </c>
      <c r="L187" s="11"/>
      <c r="M187" s="11"/>
    </row>
    <row r="188" spans="1:13" s="1" customFormat="1" ht="30" customHeight="1" x14ac:dyDescent="0.25">
      <c r="A188" s="206"/>
      <c r="B188" s="193"/>
      <c r="C188" s="193"/>
      <c r="D188" s="187"/>
      <c r="E188" s="15" t="s">
        <v>287</v>
      </c>
      <c r="F188" s="19" t="s">
        <v>15</v>
      </c>
      <c r="G188" s="16" t="s">
        <v>92</v>
      </c>
      <c r="H188" s="15" t="s">
        <v>28</v>
      </c>
      <c r="I188" s="17">
        <v>43901</v>
      </c>
      <c r="J188" s="18">
        <f>C187/D187</f>
        <v>166</v>
      </c>
      <c r="K188" s="13">
        <f t="shared" si="4"/>
        <v>166</v>
      </c>
      <c r="L188" s="11"/>
      <c r="M188" s="11"/>
    </row>
    <row r="189" spans="1:13" s="1" customFormat="1" ht="30" customHeight="1" x14ac:dyDescent="0.25">
      <c r="A189" s="206">
        <v>75</v>
      </c>
      <c r="B189" s="193" t="s">
        <v>288</v>
      </c>
      <c r="C189" s="193">
        <v>307</v>
      </c>
      <c r="D189" s="186">
        <f>COUNTA(E189:E190)</f>
        <v>2</v>
      </c>
      <c r="E189" s="15" t="s">
        <v>289</v>
      </c>
      <c r="F189" s="19" t="s">
        <v>15</v>
      </c>
      <c r="G189" s="16" t="s">
        <v>92</v>
      </c>
      <c r="H189" s="15" t="s">
        <v>28</v>
      </c>
      <c r="I189" s="17">
        <v>44784</v>
      </c>
      <c r="J189" s="18">
        <f>C189/D189</f>
        <v>153.5</v>
      </c>
      <c r="K189" s="13">
        <f t="shared" si="4"/>
        <v>153</v>
      </c>
      <c r="L189" s="11"/>
      <c r="M189" s="11"/>
    </row>
    <row r="190" spans="1:13" s="1" customFormat="1" ht="30" customHeight="1" x14ac:dyDescent="0.25">
      <c r="A190" s="206"/>
      <c r="B190" s="193"/>
      <c r="C190" s="193"/>
      <c r="D190" s="187"/>
      <c r="E190" s="19" t="s">
        <v>290</v>
      </c>
      <c r="F190" s="19" t="s">
        <v>15</v>
      </c>
      <c r="G190" s="88" t="s">
        <v>92</v>
      </c>
      <c r="H190" s="19" t="s">
        <v>28</v>
      </c>
      <c r="I190" s="89">
        <v>45838</v>
      </c>
      <c r="J190" s="18">
        <f>C189/D189</f>
        <v>153.5</v>
      </c>
      <c r="K190" s="13">
        <f t="shared" si="4"/>
        <v>153</v>
      </c>
      <c r="L190" s="23"/>
      <c r="M190" s="11"/>
    </row>
    <row r="191" spans="1:13" s="1" customFormat="1" ht="30" customHeight="1" x14ac:dyDescent="0.25">
      <c r="A191" s="206">
        <v>76</v>
      </c>
      <c r="B191" s="193" t="s">
        <v>291</v>
      </c>
      <c r="C191" s="193">
        <v>291</v>
      </c>
      <c r="D191" s="186">
        <f>COUNTA(E191:E192)</f>
        <v>2</v>
      </c>
      <c r="E191" s="19" t="s">
        <v>292</v>
      </c>
      <c r="F191" s="19" t="s">
        <v>15</v>
      </c>
      <c r="G191" s="16" t="s">
        <v>92</v>
      </c>
      <c r="H191" s="15" t="s">
        <v>28</v>
      </c>
      <c r="I191" s="17">
        <v>44523</v>
      </c>
      <c r="J191" s="18">
        <f>C191/D191</f>
        <v>145.5</v>
      </c>
      <c r="K191" s="13">
        <f t="shared" si="4"/>
        <v>145</v>
      </c>
      <c r="L191" s="11"/>
      <c r="M191" s="11"/>
    </row>
    <row r="192" spans="1:13" s="1" customFormat="1" ht="30" customHeight="1" x14ac:dyDescent="0.25">
      <c r="A192" s="206"/>
      <c r="B192" s="193"/>
      <c r="C192" s="193"/>
      <c r="D192" s="187"/>
      <c r="E192" s="19" t="s">
        <v>293</v>
      </c>
      <c r="F192" s="19" t="s">
        <v>15</v>
      </c>
      <c r="G192" s="16" t="s">
        <v>92</v>
      </c>
      <c r="H192" s="15" t="s">
        <v>28</v>
      </c>
      <c r="I192" s="17">
        <v>44454</v>
      </c>
      <c r="J192" s="18">
        <f>C191/D191</f>
        <v>145.5</v>
      </c>
      <c r="K192" s="13">
        <f t="shared" si="4"/>
        <v>145</v>
      </c>
      <c r="L192" s="11"/>
      <c r="M192" s="11"/>
    </row>
    <row r="193" spans="1:13" s="1" customFormat="1" ht="30" customHeight="1" x14ac:dyDescent="0.25">
      <c r="A193" s="206">
        <v>77</v>
      </c>
      <c r="B193" s="193" t="s">
        <v>294</v>
      </c>
      <c r="C193" s="193">
        <v>91</v>
      </c>
      <c r="D193" s="186">
        <f>COUNTA(E193:E194)</f>
        <v>2</v>
      </c>
      <c r="E193" s="15" t="s">
        <v>295</v>
      </c>
      <c r="F193" s="19" t="s">
        <v>15</v>
      </c>
      <c r="G193" s="16" t="s">
        <v>27</v>
      </c>
      <c r="H193" s="15" t="s">
        <v>28</v>
      </c>
      <c r="I193" s="17">
        <v>44466</v>
      </c>
      <c r="J193" s="18">
        <f>C193/D193</f>
        <v>45.5</v>
      </c>
      <c r="K193" s="13">
        <f t="shared" si="4"/>
        <v>45</v>
      </c>
      <c r="L193" s="11"/>
      <c r="M193" s="11"/>
    </row>
    <row r="194" spans="1:13" s="1" customFormat="1" ht="30" customHeight="1" x14ac:dyDescent="0.25">
      <c r="A194" s="206"/>
      <c r="B194" s="193"/>
      <c r="C194" s="193"/>
      <c r="D194" s="187"/>
      <c r="E194" s="15" t="s">
        <v>296</v>
      </c>
      <c r="F194" s="15" t="s">
        <v>15</v>
      </c>
      <c r="G194" s="16" t="s">
        <v>27</v>
      </c>
      <c r="H194" s="15" t="s">
        <v>28</v>
      </c>
      <c r="I194" s="17">
        <v>44739</v>
      </c>
      <c r="J194" s="18">
        <f>C193/D193</f>
        <v>45.5</v>
      </c>
      <c r="K194" s="13">
        <f t="shared" si="4"/>
        <v>45</v>
      </c>
      <c r="L194" s="11"/>
      <c r="M194" s="11"/>
    </row>
    <row r="195" spans="1:13" s="1" customFormat="1" ht="30" customHeight="1" x14ac:dyDescent="0.25">
      <c r="A195" s="206">
        <v>78</v>
      </c>
      <c r="B195" s="193" t="s">
        <v>297</v>
      </c>
      <c r="C195" s="193">
        <v>0</v>
      </c>
      <c r="D195" s="186">
        <f>COUNTA(E195:E196)</f>
        <v>2</v>
      </c>
      <c r="E195" s="15" t="s">
        <v>298</v>
      </c>
      <c r="F195" s="19" t="s">
        <v>15</v>
      </c>
      <c r="G195" s="16" t="s">
        <v>92</v>
      </c>
      <c r="H195" s="15" t="s">
        <v>28</v>
      </c>
      <c r="I195" s="17">
        <v>41371</v>
      </c>
      <c r="J195" s="18">
        <f>C195/D195</f>
        <v>0</v>
      </c>
      <c r="K195" s="13"/>
      <c r="L195" s="11"/>
      <c r="M195" s="11"/>
    </row>
    <row r="196" spans="1:13" s="1" customFormat="1" ht="30" customHeight="1" x14ac:dyDescent="0.25">
      <c r="A196" s="206"/>
      <c r="B196" s="193"/>
      <c r="C196" s="193"/>
      <c r="D196" s="187"/>
      <c r="E196" s="15" t="s">
        <v>299</v>
      </c>
      <c r="F196" s="19" t="s">
        <v>15</v>
      </c>
      <c r="G196" s="16" t="s">
        <v>92</v>
      </c>
      <c r="H196" s="15" t="s">
        <v>28</v>
      </c>
      <c r="I196" s="17">
        <v>43161</v>
      </c>
      <c r="J196" s="18">
        <f>C195/D195</f>
        <v>0</v>
      </c>
      <c r="K196" s="13"/>
      <c r="L196" s="11"/>
      <c r="M196" s="11"/>
    </row>
    <row r="197" spans="1:13" s="1" customFormat="1" ht="30" customHeight="1" x14ac:dyDescent="0.25">
      <c r="A197" s="206">
        <v>79</v>
      </c>
      <c r="B197" s="193" t="s">
        <v>300</v>
      </c>
      <c r="C197" s="193">
        <v>233</v>
      </c>
      <c r="D197" s="186">
        <f>COUNTA(E197:E198)</f>
        <v>2</v>
      </c>
      <c r="E197" s="15" t="s">
        <v>301</v>
      </c>
      <c r="F197" s="19" t="s">
        <v>15</v>
      </c>
      <c r="G197" s="16" t="s">
        <v>27</v>
      </c>
      <c r="H197" s="15" t="s">
        <v>28</v>
      </c>
      <c r="I197" s="17">
        <v>44998</v>
      </c>
      <c r="J197" s="18">
        <f>C197/D197</f>
        <v>116.5</v>
      </c>
      <c r="K197" s="13">
        <f t="shared" si="4"/>
        <v>116</v>
      </c>
      <c r="L197" s="11"/>
      <c r="M197" s="11"/>
    </row>
    <row r="198" spans="1:13" s="1" customFormat="1" ht="30" customHeight="1" x14ac:dyDescent="0.25">
      <c r="A198" s="206"/>
      <c r="B198" s="193"/>
      <c r="C198" s="193"/>
      <c r="D198" s="187"/>
      <c r="E198" s="11" t="s">
        <v>302</v>
      </c>
      <c r="F198" s="19" t="s">
        <v>15</v>
      </c>
      <c r="G198" s="16" t="s">
        <v>92</v>
      </c>
      <c r="H198" s="15" t="s">
        <v>28</v>
      </c>
      <c r="I198" s="26">
        <v>45834</v>
      </c>
      <c r="J198" s="18">
        <f>C197/D197</f>
        <v>116.5</v>
      </c>
      <c r="K198" s="13">
        <f t="shared" si="4"/>
        <v>116</v>
      </c>
      <c r="L198" s="23"/>
      <c r="M198" s="11"/>
    </row>
    <row r="199" spans="1:13" s="1" customFormat="1" ht="30" customHeight="1" x14ac:dyDescent="0.25">
      <c r="A199" s="206">
        <v>80</v>
      </c>
      <c r="B199" s="193" t="s">
        <v>303</v>
      </c>
      <c r="C199" s="193">
        <v>25</v>
      </c>
      <c r="D199" s="186">
        <f>COUNTA(E199:E200)</f>
        <v>2</v>
      </c>
      <c r="E199" s="61" t="s">
        <v>304</v>
      </c>
      <c r="F199" s="63" t="s">
        <v>19</v>
      </c>
      <c r="G199" s="73" t="s">
        <v>27</v>
      </c>
      <c r="H199" s="15" t="s">
        <v>28</v>
      </c>
      <c r="I199" s="32">
        <v>45477</v>
      </c>
      <c r="J199" s="18">
        <f>C199/D199</f>
        <v>12.5</v>
      </c>
      <c r="K199" s="13">
        <f t="shared" si="4"/>
        <v>12</v>
      </c>
      <c r="L199" s="73"/>
      <c r="M199" s="11"/>
    </row>
    <row r="200" spans="1:13" s="1" customFormat="1" ht="30" customHeight="1" x14ac:dyDescent="0.25">
      <c r="A200" s="206"/>
      <c r="B200" s="193"/>
      <c r="C200" s="193"/>
      <c r="D200" s="187"/>
      <c r="E200" s="19" t="s">
        <v>305</v>
      </c>
      <c r="F200" s="28" t="s">
        <v>19</v>
      </c>
      <c r="G200" s="21" t="s">
        <v>85</v>
      </c>
      <c r="H200" s="19"/>
      <c r="I200" s="26">
        <v>45474</v>
      </c>
      <c r="J200" s="18">
        <f>C199/D199</f>
        <v>12.5</v>
      </c>
      <c r="K200" s="13">
        <f t="shared" si="4"/>
        <v>12</v>
      </c>
      <c r="L200" s="11"/>
      <c r="M200" s="23"/>
    </row>
    <row r="201" spans="1:13" s="1" customFormat="1" ht="30" customHeight="1" x14ac:dyDescent="0.25">
      <c r="A201" s="206">
        <v>81</v>
      </c>
      <c r="B201" s="193" t="s">
        <v>306</v>
      </c>
      <c r="C201" s="193">
        <v>0</v>
      </c>
      <c r="D201" s="186">
        <f>COUNTA(E201:E202)</f>
        <v>2</v>
      </c>
      <c r="E201" s="15" t="s">
        <v>307</v>
      </c>
      <c r="F201" s="19" t="s">
        <v>15</v>
      </c>
      <c r="G201" s="16" t="s">
        <v>308</v>
      </c>
      <c r="H201" s="15" t="s">
        <v>28</v>
      </c>
      <c r="I201" s="17">
        <v>42416</v>
      </c>
      <c r="J201" s="18">
        <f>C201/D201</f>
        <v>0</v>
      </c>
      <c r="K201" s="13"/>
      <c r="L201" s="11"/>
      <c r="M201" s="11"/>
    </row>
    <row r="202" spans="1:13" s="1" customFormat="1" ht="30" customHeight="1" x14ac:dyDescent="0.25">
      <c r="A202" s="206"/>
      <c r="B202" s="193"/>
      <c r="C202" s="193"/>
      <c r="D202" s="187"/>
      <c r="E202" s="19" t="s">
        <v>309</v>
      </c>
      <c r="F202" s="81" t="s">
        <v>15</v>
      </c>
      <c r="G202" s="16" t="s">
        <v>16</v>
      </c>
      <c r="H202" s="15" t="s">
        <v>71</v>
      </c>
      <c r="I202" s="17">
        <v>44578</v>
      </c>
      <c r="J202" s="18">
        <f>C201/D201</f>
        <v>0</v>
      </c>
      <c r="K202" s="13"/>
      <c r="L202" s="11"/>
      <c r="M202" s="11"/>
    </row>
    <row r="203" spans="1:13" s="1" customFormat="1" ht="30" customHeight="1" x14ac:dyDescent="0.25">
      <c r="A203" s="206">
        <v>82</v>
      </c>
      <c r="B203" s="193" t="s">
        <v>310</v>
      </c>
      <c r="C203" s="193">
        <v>0</v>
      </c>
      <c r="D203" s="186">
        <f>COUNTA(E203:E204)</f>
        <v>2</v>
      </c>
      <c r="E203" s="90" t="s">
        <v>311</v>
      </c>
      <c r="F203" s="28" t="s">
        <v>15</v>
      </c>
      <c r="G203" s="21" t="s">
        <v>85</v>
      </c>
      <c r="H203" s="19"/>
      <c r="I203" s="26">
        <v>45474</v>
      </c>
      <c r="J203" s="18">
        <f>C203/D203</f>
        <v>0</v>
      </c>
      <c r="K203" s="13"/>
      <c r="L203" s="58"/>
      <c r="M203" s="11"/>
    </row>
    <row r="204" spans="1:13" s="1" customFormat="1" ht="30" customHeight="1" x14ac:dyDescent="0.25">
      <c r="A204" s="206"/>
      <c r="B204" s="193"/>
      <c r="C204" s="193"/>
      <c r="D204" s="187"/>
      <c r="E204" s="15" t="s">
        <v>312</v>
      </c>
      <c r="F204" s="15" t="s">
        <v>15</v>
      </c>
      <c r="G204" s="16" t="s">
        <v>85</v>
      </c>
      <c r="H204" s="15" t="s">
        <v>28</v>
      </c>
      <c r="I204" s="39">
        <v>45469</v>
      </c>
      <c r="J204" s="18">
        <f>C203/D203</f>
        <v>0</v>
      </c>
      <c r="K204" s="13"/>
      <c r="L204" s="23"/>
      <c r="M204" s="11"/>
    </row>
    <row r="205" spans="1:13" s="1" customFormat="1" ht="30" customHeight="1" x14ac:dyDescent="0.25">
      <c r="A205" s="206">
        <v>83</v>
      </c>
      <c r="B205" s="193" t="s">
        <v>313</v>
      </c>
      <c r="C205" s="193">
        <v>0</v>
      </c>
      <c r="D205" s="186">
        <f>COUNTA(E205:E206)</f>
        <v>1</v>
      </c>
      <c r="E205" s="52" t="s">
        <v>314</v>
      </c>
      <c r="F205" s="52" t="s">
        <v>19</v>
      </c>
      <c r="G205" s="52" t="s">
        <v>64</v>
      </c>
      <c r="H205" s="52"/>
      <c r="I205" s="70">
        <v>46024</v>
      </c>
      <c r="J205" s="18">
        <f>C205/D205</f>
        <v>0</v>
      </c>
      <c r="K205" s="13"/>
      <c r="L205" s="11"/>
      <c r="M205" s="11"/>
    </row>
    <row r="206" spans="1:13" s="1" customFormat="1" ht="30" customHeight="1" x14ac:dyDescent="0.25">
      <c r="A206" s="206"/>
      <c r="B206" s="193"/>
      <c r="C206" s="193"/>
      <c r="D206" s="187"/>
      <c r="E206" s="62"/>
      <c r="F206" s="62"/>
      <c r="G206" s="27"/>
      <c r="H206" s="43"/>
      <c r="I206" s="45"/>
      <c r="J206" s="18"/>
      <c r="K206" s="13"/>
      <c r="L206" s="27"/>
      <c r="M206" s="11"/>
    </row>
    <row r="207" spans="1:13" s="1" customFormat="1" ht="30" customHeight="1" x14ac:dyDescent="0.25">
      <c r="A207" s="206">
        <v>84</v>
      </c>
      <c r="B207" s="193" t="s">
        <v>315</v>
      </c>
      <c r="C207" s="193">
        <v>190</v>
      </c>
      <c r="D207" s="186">
        <f>COUNTA(E207:E208)</f>
        <v>2</v>
      </c>
      <c r="E207" s="19" t="s">
        <v>316</v>
      </c>
      <c r="F207" s="19" t="s">
        <v>15</v>
      </c>
      <c r="G207" s="16" t="s">
        <v>27</v>
      </c>
      <c r="H207" s="15" t="s">
        <v>28</v>
      </c>
      <c r="I207" s="17">
        <v>44391</v>
      </c>
      <c r="J207" s="18">
        <f>C207/D207</f>
        <v>95</v>
      </c>
      <c r="K207" s="13">
        <f t="shared" si="4"/>
        <v>95</v>
      </c>
      <c r="L207" s="11"/>
      <c r="M207" s="11"/>
    </row>
    <row r="208" spans="1:13" s="3" customFormat="1" ht="30" customHeight="1" x14ac:dyDescent="0.25">
      <c r="A208" s="210"/>
      <c r="B208" s="200"/>
      <c r="C208" s="200"/>
      <c r="D208" s="187"/>
      <c r="E208" s="52" t="s">
        <v>317</v>
      </c>
      <c r="F208" s="28" t="s">
        <v>15</v>
      </c>
      <c r="G208" s="21"/>
      <c r="H208" s="15"/>
      <c r="I208" s="70">
        <v>46149</v>
      </c>
      <c r="J208" s="18">
        <f>C207/D207</f>
        <v>95</v>
      </c>
      <c r="K208" s="13">
        <f t="shared" si="4"/>
        <v>95</v>
      </c>
      <c r="L208" s="91"/>
      <c r="M208" s="64"/>
    </row>
    <row r="209" spans="1:13" s="1" customFormat="1" ht="30" customHeight="1" x14ac:dyDescent="0.25">
      <c r="A209" s="206">
        <v>85</v>
      </c>
      <c r="B209" s="193" t="s">
        <v>318</v>
      </c>
      <c r="C209" s="193">
        <v>40</v>
      </c>
      <c r="D209" s="186">
        <f>COUNTA(E209:E210)</f>
        <v>1</v>
      </c>
      <c r="E209" s="19"/>
      <c r="F209" s="28"/>
      <c r="G209" s="21"/>
      <c r="H209" s="28"/>
      <c r="I209" s="26"/>
      <c r="J209" s="18"/>
      <c r="K209" s="13"/>
      <c r="L209" s="11"/>
      <c r="M209" s="92"/>
    </row>
    <row r="210" spans="1:13" s="1" customFormat="1" ht="30" customHeight="1" x14ac:dyDescent="0.25">
      <c r="A210" s="210"/>
      <c r="B210" s="200"/>
      <c r="C210" s="193"/>
      <c r="D210" s="187"/>
      <c r="E210" s="20" t="s">
        <v>319</v>
      </c>
      <c r="F210" s="28" t="s">
        <v>15</v>
      </c>
      <c r="G210" s="20" t="s">
        <v>16</v>
      </c>
      <c r="H210" s="20" t="s">
        <v>74</v>
      </c>
      <c r="I210" s="22">
        <v>45846</v>
      </c>
      <c r="J210" s="18">
        <f>C209/D209</f>
        <v>40</v>
      </c>
      <c r="K210" s="13">
        <f t="shared" si="4"/>
        <v>40</v>
      </c>
      <c r="L210" s="11"/>
      <c r="M210" s="11" t="s">
        <v>222</v>
      </c>
    </row>
    <row r="211" spans="1:13" s="1" customFormat="1" ht="30" customHeight="1" x14ac:dyDescent="0.25">
      <c r="A211" s="206">
        <v>86</v>
      </c>
      <c r="B211" s="193" t="s">
        <v>320</v>
      </c>
      <c r="C211" s="193">
        <v>0</v>
      </c>
      <c r="D211" s="186">
        <f>COUNTA(E211:E212)</f>
        <v>1</v>
      </c>
      <c r="E211" s="20" t="s">
        <v>321</v>
      </c>
      <c r="F211" s="20" t="s">
        <v>15</v>
      </c>
      <c r="G211" s="20" t="s">
        <v>85</v>
      </c>
      <c r="H211" s="73"/>
      <c r="I211" s="32">
        <v>46027</v>
      </c>
      <c r="J211" s="18">
        <f>C211/D211</f>
        <v>0</v>
      </c>
      <c r="K211" s="13"/>
      <c r="L211" s="11"/>
      <c r="M211" s="11"/>
    </row>
    <row r="212" spans="1:13" s="1" customFormat="1" ht="30" customHeight="1" x14ac:dyDescent="0.25">
      <c r="A212" s="206"/>
      <c r="B212" s="193"/>
      <c r="C212" s="193"/>
      <c r="D212" s="187"/>
      <c r="E212" s="16"/>
      <c r="F212" s="16"/>
      <c r="G212" s="16"/>
      <c r="H212" s="16"/>
      <c r="I212" s="17"/>
      <c r="J212" s="18"/>
      <c r="K212" s="13"/>
      <c r="L212" s="11"/>
      <c r="M212" s="11"/>
    </row>
    <row r="213" spans="1:13" s="1" customFormat="1" ht="30" customHeight="1" x14ac:dyDescent="0.25">
      <c r="A213" s="206">
        <v>87</v>
      </c>
      <c r="B213" s="193" t="s">
        <v>322</v>
      </c>
      <c r="C213" s="193">
        <v>41</v>
      </c>
      <c r="D213" s="186">
        <f>COUNTA(E213:E214)</f>
        <v>2</v>
      </c>
      <c r="E213" s="36" t="s">
        <v>323</v>
      </c>
      <c r="F213" s="14" t="s">
        <v>15</v>
      </c>
      <c r="G213" s="59" t="s">
        <v>92</v>
      </c>
      <c r="H213" s="36" t="s">
        <v>28</v>
      </c>
      <c r="I213" s="14"/>
      <c r="J213" s="18">
        <v>35.700000000000003</v>
      </c>
      <c r="K213" s="13">
        <f t="shared" si="4"/>
        <v>35</v>
      </c>
      <c r="L213" s="11"/>
      <c r="M213" s="11" t="s">
        <v>324</v>
      </c>
    </row>
    <row r="214" spans="1:13" s="1" customFormat="1" ht="30" customHeight="1" x14ac:dyDescent="0.25">
      <c r="A214" s="206"/>
      <c r="B214" s="193"/>
      <c r="C214" s="193"/>
      <c r="D214" s="188"/>
      <c r="E214" s="93" t="s">
        <v>325</v>
      </c>
      <c r="F214" s="14" t="s">
        <v>15</v>
      </c>
      <c r="G214" s="31" t="s">
        <v>64</v>
      </c>
      <c r="H214" s="36" t="s">
        <v>28</v>
      </c>
      <c r="I214" s="94">
        <v>46195</v>
      </c>
      <c r="J214" s="18">
        <v>5.3</v>
      </c>
      <c r="K214" s="13">
        <f t="shared" si="4"/>
        <v>5</v>
      </c>
      <c r="L214" s="40"/>
      <c r="M214" s="11" t="s">
        <v>326</v>
      </c>
    </row>
    <row r="215" spans="1:13" s="1" customFormat="1" ht="30" customHeight="1" x14ac:dyDescent="0.25">
      <c r="A215" s="206">
        <v>88</v>
      </c>
      <c r="B215" s="193" t="s">
        <v>327</v>
      </c>
      <c r="C215" s="193">
        <v>6</v>
      </c>
      <c r="D215" s="186">
        <f>COUNTA(E215:E216)</f>
        <v>2</v>
      </c>
      <c r="E215" s="52" t="s">
        <v>328</v>
      </c>
      <c r="F215" s="28" t="s">
        <v>15</v>
      </c>
      <c r="G215" s="21" t="s">
        <v>16</v>
      </c>
      <c r="H215" s="15" t="s">
        <v>28</v>
      </c>
      <c r="I215" s="70">
        <v>45819</v>
      </c>
      <c r="J215" s="18">
        <f>C215/D215</f>
        <v>3</v>
      </c>
      <c r="K215" s="13">
        <f t="shared" si="4"/>
        <v>3</v>
      </c>
      <c r="L215" s="23"/>
      <c r="M215" s="11"/>
    </row>
    <row r="216" spans="1:13" s="1" customFormat="1" ht="30" customHeight="1" x14ac:dyDescent="0.25">
      <c r="A216" s="206"/>
      <c r="B216" s="193"/>
      <c r="C216" s="193"/>
      <c r="D216" s="187"/>
      <c r="E216" s="68" t="s">
        <v>329</v>
      </c>
      <c r="F216" s="95" t="s">
        <v>15</v>
      </c>
      <c r="G216" s="21" t="s">
        <v>16</v>
      </c>
      <c r="H216" s="67" t="s">
        <v>330</v>
      </c>
      <c r="I216" s="89">
        <v>45754</v>
      </c>
      <c r="J216" s="18">
        <f>C215/D215</f>
        <v>3</v>
      </c>
      <c r="K216" s="13">
        <f t="shared" ref="K216:K241" si="5">TRUNC(J216)</f>
        <v>3</v>
      </c>
      <c r="L216" s="11"/>
      <c r="M216" s="11"/>
    </row>
    <row r="217" spans="1:13" s="1" customFormat="1" ht="30" customHeight="1" x14ac:dyDescent="0.25">
      <c r="A217" s="206">
        <v>89</v>
      </c>
      <c r="B217" s="193" t="s">
        <v>331</v>
      </c>
      <c r="C217" s="193">
        <v>0</v>
      </c>
      <c r="D217" s="186">
        <f>COUNTA(E217:E218)</f>
        <v>2</v>
      </c>
      <c r="E217" s="20" t="s">
        <v>332</v>
      </c>
      <c r="F217" s="78" t="s">
        <v>15</v>
      </c>
      <c r="G217" s="20" t="s">
        <v>333</v>
      </c>
      <c r="H217" s="20"/>
      <c r="I217" s="22">
        <v>45895</v>
      </c>
      <c r="J217" s="18">
        <f>C217/D217</f>
        <v>0</v>
      </c>
      <c r="K217" s="13"/>
      <c r="L217" s="11"/>
      <c r="M217" s="11"/>
    </row>
    <row r="218" spans="1:13" s="1" customFormat="1" ht="30" customHeight="1" x14ac:dyDescent="0.25">
      <c r="A218" s="206"/>
      <c r="B218" s="193"/>
      <c r="C218" s="193"/>
      <c r="D218" s="187"/>
      <c r="E218" s="42" t="s">
        <v>334</v>
      </c>
      <c r="F218" s="19" t="s">
        <v>15</v>
      </c>
      <c r="G218" s="16" t="s">
        <v>114</v>
      </c>
      <c r="H218" s="15" t="s">
        <v>28</v>
      </c>
      <c r="I218" s="96">
        <v>45586</v>
      </c>
      <c r="J218" s="18">
        <f>C217/D217</f>
        <v>0</v>
      </c>
      <c r="K218" s="13"/>
      <c r="L218" s="60"/>
      <c r="M218" s="11"/>
    </row>
    <row r="219" spans="1:13" s="1" customFormat="1" ht="30" customHeight="1" x14ac:dyDescent="0.25">
      <c r="A219" s="206">
        <v>90</v>
      </c>
      <c r="B219" s="193" t="s">
        <v>335</v>
      </c>
      <c r="C219" s="193">
        <v>339</v>
      </c>
      <c r="D219" s="186">
        <f>COUNTA(E219:E220)</f>
        <v>2</v>
      </c>
      <c r="E219" s="28" t="s">
        <v>336</v>
      </c>
      <c r="F219" s="28" t="s">
        <v>15</v>
      </c>
      <c r="G219" s="21" t="s">
        <v>92</v>
      </c>
      <c r="H219" s="15" t="s">
        <v>28</v>
      </c>
      <c r="I219" s="26">
        <v>45968</v>
      </c>
      <c r="J219" s="18">
        <f>C219/D219</f>
        <v>169.5</v>
      </c>
      <c r="K219" s="13">
        <f t="shared" si="5"/>
        <v>169</v>
      </c>
      <c r="L219" s="21"/>
      <c r="M219" s="73"/>
    </row>
    <row r="220" spans="1:13" s="1" customFormat="1" ht="30" customHeight="1" x14ac:dyDescent="0.25">
      <c r="A220" s="206"/>
      <c r="B220" s="193"/>
      <c r="C220" s="193"/>
      <c r="D220" s="187"/>
      <c r="E220" s="15" t="s">
        <v>337</v>
      </c>
      <c r="F220" s="19" t="s">
        <v>15</v>
      </c>
      <c r="G220" s="16" t="s">
        <v>92</v>
      </c>
      <c r="H220" s="15" t="s">
        <v>28</v>
      </c>
      <c r="I220" s="17">
        <v>44665</v>
      </c>
      <c r="J220" s="18">
        <f>C219/D219</f>
        <v>169.5</v>
      </c>
      <c r="K220" s="13">
        <f t="shared" si="5"/>
        <v>169</v>
      </c>
      <c r="L220" s="11"/>
      <c r="M220" s="11"/>
    </row>
    <row r="221" spans="1:13" s="1" customFormat="1" ht="30" customHeight="1" x14ac:dyDescent="0.25">
      <c r="A221" s="11"/>
      <c r="B221" s="13"/>
      <c r="C221" s="13"/>
      <c r="D221" s="15"/>
      <c r="E221" s="15"/>
      <c r="F221" s="19"/>
      <c r="G221" s="16"/>
      <c r="H221" s="15"/>
      <c r="I221" s="17"/>
      <c r="J221" s="18"/>
      <c r="K221" s="13"/>
      <c r="L221" s="11"/>
      <c r="M221" s="11"/>
    </row>
    <row r="222" spans="1:13" s="1" customFormat="1" ht="30" customHeight="1" x14ac:dyDescent="0.25">
      <c r="A222" s="206">
        <v>92</v>
      </c>
      <c r="B222" s="193" t="s">
        <v>338</v>
      </c>
      <c r="C222" s="193">
        <v>255</v>
      </c>
      <c r="D222" s="186">
        <f>COUNTA(E222:E223)</f>
        <v>2</v>
      </c>
      <c r="E222" s="52" t="s">
        <v>339</v>
      </c>
      <c r="F222" s="52" t="s">
        <v>15</v>
      </c>
      <c r="G222" s="52" t="s">
        <v>16</v>
      </c>
      <c r="H222" s="52"/>
      <c r="I222" s="70">
        <v>46142</v>
      </c>
      <c r="J222" s="18">
        <f>C222/D222</f>
        <v>127.5</v>
      </c>
      <c r="K222" s="13">
        <f t="shared" si="5"/>
        <v>127</v>
      </c>
      <c r="L222" s="11"/>
      <c r="M222" s="11"/>
    </row>
    <row r="223" spans="1:13" s="1" customFormat="1" ht="30" customHeight="1" x14ac:dyDescent="0.25">
      <c r="A223" s="206"/>
      <c r="B223" s="193"/>
      <c r="C223" s="193"/>
      <c r="D223" s="187"/>
      <c r="E223" s="52" t="s">
        <v>340</v>
      </c>
      <c r="F223" s="28" t="s">
        <v>15</v>
      </c>
      <c r="G223" s="21" t="s">
        <v>92</v>
      </c>
      <c r="H223" s="28" t="s">
        <v>102</v>
      </c>
      <c r="I223" s="70">
        <v>46144</v>
      </c>
      <c r="J223" s="18">
        <f>C222/D222</f>
        <v>127.5</v>
      </c>
      <c r="K223" s="13">
        <f t="shared" si="5"/>
        <v>127</v>
      </c>
      <c r="L223" s="23"/>
      <c r="M223" s="11"/>
    </row>
    <row r="224" spans="1:13" s="1" customFormat="1" ht="30" customHeight="1" x14ac:dyDescent="0.25">
      <c r="A224" s="206">
        <v>94</v>
      </c>
      <c r="B224" s="193" t="s">
        <v>341</v>
      </c>
      <c r="C224" s="193">
        <v>0</v>
      </c>
      <c r="D224" s="186">
        <f>COUNTA(E224:E225)</f>
        <v>2</v>
      </c>
      <c r="E224" s="15" t="s">
        <v>342</v>
      </c>
      <c r="F224" s="15" t="s">
        <v>15</v>
      </c>
      <c r="G224" s="31" t="s">
        <v>64</v>
      </c>
      <c r="H224" s="15"/>
      <c r="I224" s="17">
        <v>45008</v>
      </c>
      <c r="J224" s="18">
        <f>C224/D224</f>
        <v>0</v>
      </c>
      <c r="K224" s="13"/>
      <c r="L224" s="11"/>
      <c r="M224" s="23"/>
    </row>
    <row r="225" spans="1:13" s="1" customFormat="1" ht="30" customHeight="1" x14ac:dyDescent="0.25">
      <c r="A225" s="206"/>
      <c r="B225" s="193"/>
      <c r="C225" s="193"/>
      <c r="D225" s="187"/>
      <c r="E225" s="15" t="s">
        <v>343</v>
      </c>
      <c r="F225" s="15" t="s">
        <v>15</v>
      </c>
      <c r="G225" s="31" t="s">
        <v>92</v>
      </c>
      <c r="H225" s="15"/>
      <c r="I225" s="17">
        <v>45444</v>
      </c>
      <c r="J225" s="18">
        <f>C224/D224</f>
        <v>0</v>
      </c>
      <c r="K225" s="13"/>
      <c r="L225" s="11"/>
      <c r="M225" s="11"/>
    </row>
    <row r="226" spans="1:13" s="1" customFormat="1" ht="30" customHeight="1" x14ac:dyDescent="0.25">
      <c r="A226" s="206">
        <v>96</v>
      </c>
      <c r="B226" s="193" t="s">
        <v>344</v>
      </c>
      <c r="C226" s="193">
        <v>385</v>
      </c>
      <c r="D226" s="186">
        <f>COUNTA(E226:E227)</f>
        <v>2</v>
      </c>
      <c r="E226" s="15" t="s">
        <v>345</v>
      </c>
      <c r="F226" s="15" t="s">
        <v>15</v>
      </c>
      <c r="G226" s="31" t="s">
        <v>92</v>
      </c>
      <c r="H226" s="15" t="s">
        <v>28</v>
      </c>
      <c r="I226" s="66">
        <v>45112</v>
      </c>
      <c r="J226" s="18">
        <f>C226/D226</f>
        <v>192.5</v>
      </c>
      <c r="K226" s="13">
        <f t="shared" si="5"/>
        <v>192</v>
      </c>
      <c r="L226" s="11"/>
      <c r="M226" s="11"/>
    </row>
    <row r="227" spans="1:13" s="1" customFormat="1" ht="30" customHeight="1" x14ac:dyDescent="0.25">
      <c r="A227" s="206"/>
      <c r="B227" s="193"/>
      <c r="C227" s="193"/>
      <c r="D227" s="187"/>
      <c r="E227" s="19" t="s">
        <v>346</v>
      </c>
      <c r="F227" s="15" t="s">
        <v>15</v>
      </c>
      <c r="G227" s="16" t="s">
        <v>16</v>
      </c>
      <c r="H227" s="15" t="s">
        <v>347</v>
      </c>
      <c r="I227" s="17">
        <v>45362</v>
      </c>
      <c r="J227" s="18">
        <f>C226/D226</f>
        <v>192.5</v>
      </c>
      <c r="K227" s="13">
        <f t="shared" si="5"/>
        <v>192</v>
      </c>
      <c r="L227" s="11"/>
      <c r="M227" s="11"/>
    </row>
    <row r="228" spans="1:13" s="1" customFormat="1" ht="30" customHeight="1" x14ac:dyDescent="0.25">
      <c r="A228" s="206">
        <v>98</v>
      </c>
      <c r="B228" s="193" t="s">
        <v>348</v>
      </c>
      <c r="C228" s="193">
        <v>345</v>
      </c>
      <c r="D228" s="186">
        <f>COUNTA(E228:E229)</f>
        <v>2</v>
      </c>
      <c r="E228" s="81" t="s">
        <v>349</v>
      </c>
      <c r="F228" s="19" t="s">
        <v>15</v>
      </c>
      <c r="G228" s="16" t="s">
        <v>92</v>
      </c>
      <c r="H228" s="15" t="s">
        <v>28</v>
      </c>
      <c r="I228" s="17">
        <v>44480</v>
      </c>
      <c r="J228" s="18">
        <f>C228/D228</f>
        <v>172.5</v>
      </c>
      <c r="K228" s="13">
        <f t="shared" si="5"/>
        <v>172</v>
      </c>
      <c r="L228" s="11"/>
      <c r="M228" s="11"/>
    </row>
    <row r="229" spans="1:13" s="1" customFormat="1" ht="30" customHeight="1" x14ac:dyDescent="0.25">
      <c r="A229" s="206"/>
      <c r="B229" s="193"/>
      <c r="C229" s="193"/>
      <c r="D229" s="187"/>
      <c r="E229" s="97" t="s">
        <v>350</v>
      </c>
      <c r="F229" s="19" t="s">
        <v>15</v>
      </c>
      <c r="G229" s="16" t="s">
        <v>92</v>
      </c>
      <c r="H229" s="19" t="s">
        <v>28</v>
      </c>
      <c r="I229" s="54"/>
      <c r="J229" s="18">
        <f>C228/D228</f>
        <v>172.5</v>
      </c>
      <c r="K229" s="13">
        <f t="shared" si="5"/>
        <v>172</v>
      </c>
      <c r="L229" s="23"/>
      <c r="M229" s="11"/>
    </row>
    <row r="230" spans="1:13" s="1" customFormat="1" ht="30" customHeight="1" x14ac:dyDescent="0.25">
      <c r="A230" s="206">
        <v>100</v>
      </c>
      <c r="B230" s="193" t="s">
        <v>351</v>
      </c>
      <c r="C230" s="193">
        <v>84</v>
      </c>
      <c r="D230" s="186">
        <f>COUNTA(E230:E231)</f>
        <v>2</v>
      </c>
      <c r="E230" s="19" t="s">
        <v>352</v>
      </c>
      <c r="F230" s="81" t="s">
        <v>15</v>
      </c>
      <c r="G230" s="16" t="s">
        <v>92</v>
      </c>
      <c r="H230" s="15" t="s">
        <v>28</v>
      </c>
      <c r="I230" s="17">
        <v>44648</v>
      </c>
      <c r="J230" s="18">
        <f>C230/D230</f>
        <v>42</v>
      </c>
      <c r="K230" s="13">
        <f t="shared" si="5"/>
        <v>42</v>
      </c>
      <c r="L230" s="11"/>
      <c r="M230" s="11"/>
    </row>
    <row r="231" spans="1:13" s="1" customFormat="1" ht="30" customHeight="1" x14ac:dyDescent="0.25">
      <c r="A231" s="206"/>
      <c r="B231" s="193"/>
      <c r="C231" s="193"/>
      <c r="D231" s="187"/>
      <c r="E231" s="19" t="s">
        <v>353</v>
      </c>
      <c r="F231" s="28" t="s">
        <v>15</v>
      </c>
      <c r="G231" s="21" t="s">
        <v>92</v>
      </c>
      <c r="H231" s="43"/>
      <c r="I231" s="46"/>
      <c r="J231" s="18">
        <f>C230/D230</f>
        <v>42</v>
      </c>
      <c r="K231" s="13">
        <f t="shared" si="5"/>
        <v>42</v>
      </c>
      <c r="L231" s="23"/>
      <c r="M231" s="11" t="s">
        <v>354</v>
      </c>
    </row>
    <row r="232" spans="1:13" s="1" customFormat="1" ht="30" customHeight="1" x14ac:dyDescent="0.25">
      <c r="A232" s="206">
        <v>102</v>
      </c>
      <c r="B232" s="193" t="s">
        <v>355</v>
      </c>
      <c r="C232" s="193">
        <v>76</v>
      </c>
      <c r="D232" s="186">
        <f>COUNTA(E232:E233)</f>
        <v>2</v>
      </c>
      <c r="E232" s="73" t="s">
        <v>356</v>
      </c>
      <c r="F232" s="69" t="s">
        <v>19</v>
      </c>
      <c r="G232" s="98" t="s">
        <v>85</v>
      </c>
      <c r="H232" s="69" t="s">
        <v>98</v>
      </c>
      <c r="I232" s="32">
        <v>45999</v>
      </c>
      <c r="J232" s="18">
        <f>C232/D232</f>
        <v>38</v>
      </c>
      <c r="K232" s="13">
        <f t="shared" si="5"/>
        <v>38</v>
      </c>
      <c r="L232" s="11"/>
      <c r="M232" s="11"/>
    </row>
    <row r="233" spans="1:13" s="1" customFormat="1" ht="30" customHeight="1" x14ac:dyDescent="0.25">
      <c r="A233" s="206"/>
      <c r="B233" s="193"/>
      <c r="C233" s="193"/>
      <c r="D233" s="187"/>
      <c r="E233" s="16" t="s">
        <v>357</v>
      </c>
      <c r="F233" s="28" t="s">
        <v>15</v>
      </c>
      <c r="G233" s="21" t="s">
        <v>85</v>
      </c>
      <c r="H233" s="15" t="s">
        <v>28</v>
      </c>
      <c r="I233" s="26">
        <v>45961</v>
      </c>
      <c r="J233" s="18">
        <f>C232/D232</f>
        <v>38</v>
      </c>
      <c r="K233" s="13">
        <f t="shared" si="5"/>
        <v>38</v>
      </c>
      <c r="L233" s="11"/>
      <c r="M233" s="11" t="s">
        <v>358</v>
      </c>
    </row>
    <row r="234" spans="1:13" s="1" customFormat="1" ht="30" customHeight="1" x14ac:dyDescent="0.25">
      <c r="A234" s="206">
        <v>104</v>
      </c>
      <c r="B234" s="193" t="s">
        <v>359</v>
      </c>
      <c r="C234" s="193">
        <v>330</v>
      </c>
      <c r="D234" s="186">
        <f>COUNTA(E234:E235)</f>
        <v>1</v>
      </c>
      <c r="E234" s="11" t="s">
        <v>360</v>
      </c>
      <c r="F234" s="11" t="s">
        <v>15</v>
      </c>
      <c r="G234" s="11" t="s">
        <v>16</v>
      </c>
      <c r="H234" s="11" t="s">
        <v>361</v>
      </c>
      <c r="I234" s="26">
        <v>45709</v>
      </c>
      <c r="J234" s="18">
        <f>C234/D234</f>
        <v>330</v>
      </c>
      <c r="K234" s="13">
        <f t="shared" si="5"/>
        <v>330</v>
      </c>
      <c r="L234" s="11"/>
      <c r="M234" s="11"/>
    </row>
    <row r="235" spans="1:13" s="1" customFormat="1" ht="30" customHeight="1" x14ac:dyDescent="0.25">
      <c r="A235" s="206"/>
      <c r="B235" s="193"/>
      <c r="C235" s="193"/>
      <c r="D235" s="187"/>
      <c r="E235" s="19"/>
      <c r="F235" s="81"/>
      <c r="G235" s="20"/>
      <c r="H235" s="15"/>
      <c r="I235" s="66"/>
      <c r="J235" s="18"/>
      <c r="K235" s="13"/>
      <c r="L235" s="31"/>
      <c r="M235" s="11"/>
    </row>
    <row r="236" spans="1:13" s="1" customFormat="1" ht="30" customHeight="1" x14ac:dyDescent="0.25">
      <c r="A236" s="206">
        <v>105</v>
      </c>
      <c r="B236" s="193" t="s">
        <v>362</v>
      </c>
      <c r="C236" s="193">
        <v>137</v>
      </c>
      <c r="D236" s="186">
        <f>COUNTA(E236:E237)</f>
        <v>2</v>
      </c>
      <c r="E236" s="99" t="s">
        <v>363</v>
      </c>
      <c r="F236" s="37" t="s">
        <v>15</v>
      </c>
      <c r="G236" s="71" t="s">
        <v>114</v>
      </c>
      <c r="H236" s="37"/>
      <c r="I236" s="72">
        <v>45341</v>
      </c>
      <c r="J236" s="18">
        <f>C236/D236</f>
        <v>68.5</v>
      </c>
      <c r="K236" s="13">
        <f t="shared" si="5"/>
        <v>68</v>
      </c>
      <c r="L236" s="100"/>
      <c r="M236" s="100"/>
    </row>
    <row r="237" spans="1:13" s="1" customFormat="1" ht="30" customHeight="1" x14ac:dyDescent="0.25">
      <c r="A237" s="206"/>
      <c r="B237" s="193"/>
      <c r="C237" s="193"/>
      <c r="D237" s="187"/>
      <c r="E237" s="55" t="s">
        <v>364</v>
      </c>
      <c r="F237" s="15" t="s">
        <v>15</v>
      </c>
      <c r="G237" s="31" t="s">
        <v>64</v>
      </c>
      <c r="H237" s="15"/>
      <c r="I237" s="66">
        <v>45341</v>
      </c>
      <c r="J237" s="18">
        <f>C236/D236</f>
        <v>68.5</v>
      </c>
      <c r="K237" s="13">
        <f t="shared" si="5"/>
        <v>68</v>
      </c>
      <c r="L237" s="11"/>
      <c r="M237" s="11"/>
    </row>
    <row r="238" spans="1:13" s="1" customFormat="1" ht="30" customHeight="1" x14ac:dyDescent="0.25">
      <c r="A238" s="207">
        <v>106</v>
      </c>
      <c r="B238" s="197" t="s">
        <v>365</v>
      </c>
      <c r="C238" s="197">
        <v>305</v>
      </c>
      <c r="D238" s="178">
        <f>COUNTA(E238:E241)</f>
        <v>4</v>
      </c>
      <c r="E238" s="20" t="s">
        <v>366</v>
      </c>
      <c r="F238" s="20" t="s">
        <v>15</v>
      </c>
      <c r="G238" s="16" t="s">
        <v>16</v>
      </c>
      <c r="H238" s="15" t="s">
        <v>367</v>
      </c>
      <c r="I238" s="22">
        <v>45594</v>
      </c>
      <c r="J238" s="18">
        <f>C238/D238</f>
        <v>76.25</v>
      </c>
      <c r="K238" s="13">
        <f t="shared" si="5"/>
        <v>76</v>
      </c>
      <c r="L238" s="16"/>
      <c r="M238" s="101" t="s">
        <v>368</v>
      </c>
    </row>
    <row r="239" spans="1:13" s="1" customFormat="1" ht="30" customHeight="1" x14ac:dyDescent="0.25">
      <c r="A239" s="208"/>
      <c r="B239" s="198"/>
      <c r="C239" s="198"/>
      <c r="D239" s="179"/>
      <c r="E239" s="20" t="s">
        <v>369</v>
      </c>
      <c r="F239" s="20" t="s">
        <v>15</v>
      </c>
      <c r="G239" s="16" t="s">
        <v>16</v>
      </c>
      <c r="H239" s="20" t="s">
        <v>367</v>
      </c>
      <c r="I239" s="22">
        <v>46148</v>
      </c>
      <c r="J239" s="18">
        <f>C238/D238</f>
        <v>76.25</v>
      </c>
      <c r="K239" s="13">
        <f t="shared" si="5"/>
        <v>76</v>
      </c>
      <c r="L239" s="44"/>
      <c r="M239" s="20"/>
    </row>
    <row r="240" spans="1:13" s="1" customFormat="1" ht="30" customHeight="1" x14ac:dyDescent="0.25">
      <c r="A240" s="208"/>
      <c r="B240" s="198"/>
      <c r="C240" s="198"/>
      <c r="D240" s="179"/>
      <c r="E240" s="20" t="s">
        <v>370</v>
      </c>
      <c r="F240" s="20" t="s">
        <v>15</v>
      </c>
      <c r="G240" s="16" t="s">
        <v>16</v>
      </c>
      <c r="H240" s="15" t="s">
        <v>367</v>
      </c>
      <c r="I240" s="22">
        <v>45698</v>
      </c>
      <c r="J240" s="18">
        <f>C238/D238</f>
        <v>76.25</v>
      </c>
      <c r="K240" s="13">
        <f t="shared" si="5"/>
        <v>76</v>
      </c>
      <c r="L240" s="21"/>
      <c r="M240" s="101" t="s">
        <v>368</v>
      </c>
    </row>
    <row r="241" spans="1:13" s="1" customFormat="1" ht="30" customHeight="1" x14ac:dyDescent="0.25">
      <c r="A241" s="209"/>
      <c r="B241" s="199"/>
      <c r="C241" s="199"/>
      <c r="D241" s="180"/>
      <c r="E241" s="20" t="s">
        <v>371</v>
      </c>
      <c r="F241" s="15" t="s">
        <v>15</v>
      </c>
      <c r="G241" s="31" t="s">
        <v>16</v>
      </c>
      <c r="H241" s="15" t="s">
        <v>367</v>
      </c>
      <c r="I241" s="22">
        <v>45699</v>
      </c>
      <c r="J241" s="18">
        <f>C238/D238</f>
        <v>76.25</v>
      </c>
      <c r="K241" s="13">
        <f t="shared" si="5"/>
        <v>76</v>
      </c>
      <c r="L241" s="11"/>
      <c r="M241" s="101" t="s">
        <v>368</v>
      </c>
    </row>
    <row r="242" spans="1:13" s="1" customFormat="1" ht="30" customHeight="1" x14ac:dyDescent="0.25">
      <c r="A242" s="207">
        <v>107</v>
      </c>
      <c r="B242" s="197" t="s">
        <v>372</v>
      </c>
      <c r="C242" s="197">
        <v>0</v>
      </c>
      <c r="D242" s="178">
        <f>COUNTA(E242:E245)</f>
        <v>2</v>
      </c>
      <c r="E242" s="15" t="s">
        <v>373</v>
      </c>
      <c r="F242" s="19" t="s">
        <v>15</v>
      </c>
      <c r="G242" s="21" t="s">
        <v>16</v>
      </c>
      <c r="H242" s="19" t="s">
        <v>17</v>
      </c>
      <c r="I242" s="21" t="s">
        <v>374</v>
      </c>
      <c r="J242" s="18">
        <f>C242/D242</f>
        <v>0</v>
      </c>
      <c r="K242" s="13"/>
      <c r="L242" s="11"/>
      <c r="M242" s="20" t="s">
        <v>375</v>
      </c>
    </row>
    <row r="243" spans="1:13" s="1" customFormat="1" ht="30" customHeight="1" x14ac:dyDescent="0.25">
      <c r="A243" s="208"/>
      <c r="B243" s="198"/>
      <c r="C243" s="198"/>
      <c r="D243" s="179"/>
      <c r="E243" s="15" t="s">
        <v>376</v>
      </c>
      <c r="F243" s="19" t="s">
        <v>15</v>
      </c>
      <c r="G243" s="21" t="s">
        <v>16</v>
      </c>
      <c r="H243" s="19" t="s">
        <v>17</v>
      </c>
      <c r="I243" s="21" t="s">
        <v>374</v>
      </c>
      <c r="J243" s="18">
        <f>C242/D242</f>
        <v>0</v>
      </c>
      <c r="K243" s="13"/>
      <c r="L243" s="11"/>
      <c r="M243" s="102" t="s">
        <v>377</v>
      </c>
    </row>
    <row r="244" spans="1:13" s="1" customFormat="1" ht="30" customHeight="1" x14ac:dyDescent="0.25">
      <c r="A244" s="208"/>
      <c r="B244" s="198"/>
      <c r="C244" s="198"/>
      <c r="D244" s="179"/>
      <c r="E244" s="11"/>
      <c r="F244" s="11"/>
      <c r="G244" s="16"/>
      <c r="H244" s="15"/>
      <c r="I244" s="26"/>
      <c r="J244" s="18"/>
      <c r="K244" s="13"/>
      <c r="L244" s="27"/>
      <c r="M244" s="27"/>
    </row>
    <row r="245" spans="1:13" s="1" customFormat="1" ht="30" customHeight="1" x14ac:dyDescent="0.25">
      <c r="A245" s="209"/>
      <c r="B245" s="199"/>
      <c r="C245" s="199"/>
      <c r="D245" s="180"/>
      <c r="E245" s="11"/>
      <c r="F245" s="11"/>
      <c r="G245" s="16"/>
      <c r="H245" s="15"/>
      <c r="I245" s="26"/>
      <c r="J245" s="18"/>
      <c r="K245" s="13"/>
      <c r="L245" s="27"/>
      <c r="M245" s="11"/>
    </row>
    <row r="246" spans="1:13" s="1" customFormat="1" ht="30" customHeight="1" x14ac:dyDescent="0.25">
      <c r="A246" s="207">
        <v>108</v>
      </c>
      <c r="B246" s="197" t="s">
        <v>378</v>
      </c>
      <c r="C246" s="197">
        <v>178</v>
      </c>
      <c r="D246" s="178">
        <f>COUNTA(E246:E249)</f>
        <v>4</v>
      </c>
      <c r="E246" s="15" t="s">
        <v>379</v>
      </c>
      <c r="F246" s="15" t="s">
        <v>15</v>
      </c>
      <c r="G246" s="31" t="s">
        <v>16</v>
      </c>
      <c r="H246" s="15" t="s">
        <v>367</v>
      </c>
      <c r="I246" s="66">
        <v>45463</v>
      </c>
      <c r="J246" s="18">
        <f>C246/D246</f>
        <v>44.5</v>
      </c>
      <c r="K246" s="13">
        <f t="shared" ref="K246:K265" si="6">TRUNC(J246)</f>
        <v>44</v>
      </c>
      <c r="L246" s="11"/>
      <c r="M246" s="101" t="s">
        <v>380</v>
      </c>
    </row>
    <row r="247" spans="1:13" s="1" customFormat="1" ht="30" customHeight="1" x14ac:dyDescent="0.25">
      <c r="A247" s="208"/>
      <c r="B247" s="198"/>
      <c r="C247" s="198"/>
      <c r="D247" s="179"/>
      <c r="E247" s="19" t="s">
        <v>381</v>
      </c>
      <c r="F247" s="19" t="s">
        <v>15</v>
      </c>
      <c r="G247" s="16" t="s">
        <v>16</v>
      </c>
      <c r="H247" s="15" t="s">
        <v>22</v>
      </c>
      <c r="I247" s="39">
        <v>45474</v>
      </c>
      <c r="J247" s="18">
        <f>C246/D246</f>
        <v>44.5</v>
      </c>
      <c r="K247" s="13">
        <f t="shared" si="6"/>
        <v>44</v>
      </c>
      <c r="L247" s="23"/>
      <c r="M247" s="103"/>
    </row>
    <row r="248" spans="1:13" s="1" customFormat="1" ht="30" customHeight="1" x14ac:dyDescent="0.25">
      <c r="A248" s="208"/>
      <c r="B248" s="198"/>
      <c r="C248" s="198"/>
      <c r="D248" s="179"/>
      <c r="E248" s="20" t="s">
        <v>382</v>
      </c>
      <c r="F248" s="19" t="s">
        <v>15</v>
      </c>
      <c r="G248" s="16" t="s">
        <v>16</v>
      </c>
      <c r="H248" s="15" t="s">
        <v>22</v>
      </c>
      <c r="I248" s="22">
        <v>46150</v>
      </c>
      <c r="J248" s="18">
        <f>C246/D246</f>
        <v>44.5</v>
      </c>
      <c r="K248" s="13">
        <f t="shared" si="6"/>
        <v>44</v>
      </c>
      <c r="L248" s="11"/>
      <c r="M248" s="11"/>
    </row>
    <row r="249" spans="1:13" s="1" customFormat="1" ht="30" customHeight="1" x14ac:dyDescent="0.25">
      <c r="A249" s="209"/>
      <c r="B249" s="199"/>
      <c r="C249" s="199"/>
      <c r="D249" s="180"/>
      <c r="E249" s="20" t="s">
        <v>383</v>
      </c>
      <c r="F249" s="19" t="s">
        <v>15</v>
      </c>
      <c r="G249" s="16" t="s">
        <v>16</v>
      </c>
      <c r="H249" s="15" t="s">
        <v>22</v>
      </c>
      <c r="I249" s="22">
        <v>46153</v>
      </c>
      <c r="J249" s="18">
        <f>C246/D246</f>
        <v>44.5</v>
      </c>
      <c r="K249" s="13">
        <f t="shared" si="6"/>
        <v>44</v>
      </c>
      <c r="L249" s="60"/>
      <c r="M249" s="60"/>
    </row>
    <row r="250" spans="1:13" s="1" customFormat="1" ht="30" customHeight="1" x14ac:dyDescent="0.25">
      <c r="A250" s="207">
        <v>109</v>
      </c>
      <c r="B250" s="197" t="s">
        <v>384</v>
      </c>
      <c r="C250" s="197">
        <v>289</v>
      </c>
      <c r="D250" s="178">
        <f>COUNTA(E250:E253)</f>
        <v>4</v>
      </c>
      <c r="E250" s="67" t="s">
        <v>385</v>
      </c>
      <c r="F250" s="68" t="s">
        <v>15</v>
      </c>
      <c r="G250" s="16" t="s">
        <v>16</v>
      </c>
      <c r="H250" s="67" t="s">
        <v>45</v>
      </c>
      <c r="I250" s="104">
        <v>45151</v>
      </c>
      <c r="J250" s="18">
        <f>C250/D250</f>
        <v>72.25</v>
      </c>
      <c r="K250" s="13">
        <f t="shared" si="6"/>
        <v>72</v>
      </c>
      <c r="L250" s="21"/>
      <c r="M250" s="101" t="s">
        <v>386</v>
      </c>
    </row>
    <row r="251" spans="1:13" s="1" customFormat="1" ht="30" customHeight="1" x14ac:dyDescent="0.25">
      <c r="A251" s="208"/>
      <c r="B251" s="198"/>
      <c r="C251" s="198"/>
      <c r="D251" s="179"/>
      <c r="E251" s="29" t="s">
        <v>387</v>
      </c>
      <c r="F251" s="15" t="s">
        <v>15</v>
      </c>
      <c r="G251" s="16" t="s">
        <v>16</v>
      </c>
      <c r="H251" s="29" t="s">
        <v>129</v>
      </c>
      <c r="I251" s="104" t="s">
        <v>388</v>
      </c>
      <c r="J251" s="18">
        <f>C250/D250</f>
        <v>72.25</v>
      </c>
      <c r="K251" s="13">
        <f t="shared" si="6"/>
        <v>72</v>
      </c>
      <c r="L251" s="21"/>
      <c r="M251" s="20" t="s">
        <v>388</v>
      </c>
    </row>
    <row r="252" spans="1:13" s="1" customFormat="1" ht="30" customHeight="1" x14ac:dyDescent="0.25">
      <c r="A252" s="208"/>
      <c r="B252" s="198"/>
      <c r="C252" s="198"/>
      <c r="D252" s="179"/>
      <c r="E252" s="105" t="s">
        <v>389</v>
      </c>
      <c r="F252" s="67" t="s">
        <v>15</v>
      </c>
      <c r="G252" s="31" t="s">
        <v>16</v>
      </c>
      <c r="H252" s="67" t="s">
        <v>129</v>
      </c>
      <c r="I252" s="66">
        <v>45530</v>
      </c>
      <c r="J252" s="18">
        <f>C250/D250</f>
        <v>72.25</v>
      </c>
      <c r="K252" s="13">
        <f t="shared" si="6"/>
        <v>72</v>
      </c>
      <c r="L252" s="44"/>
      <c r="M252" s="20" t="s">
        <v>390</v>
      </c>
    </row>
    <row r="253" spans="1:13" s="1" customFormat="1" ht="30" customHeight="1" x14ac:dyDescent="0.25">
      <c r="A253" s="209"/>
      <c r="B253" s="199"/>
      <c r="C253" s="199"/>
      <c r="D253" s="180"/>
      <c r="E253" s="106" t="s">
        <v>391</v>
      </c>
      <c r="F253" s="67" t="s">
        <v>15</v>
      </c>
      <c r="G253" s="31" t="s">
        <v>16</v>
      </c>
      <c r="H253" s="67" t="s">
        <v>129</v>
      </c>
      <c r="I253" s="26">
        <v>45619</v>
      </c>
      <c r="J253" s="18">
        <f>C250/D250</f>
        <v>72.25</v>
      </c>
      <c r="K253" s="13">
        <f t="shared" si="6"/>
        <v>72</v>
      </c>
      <c r="L253" s="21"/>
      <c r="M253" s="107" t="s">
        <v>390</v>
      </c>
    </row>
    <row r="254" spans="1:13" s="1" customFormat="1" ht="30" customHeight="1" x14ac:dyDescent="0.25">
      <c r="A254" s="207">
        <v>110</v>
      </c>
      <c r="B254" s="197" t="s">
        <v>392</v>
      </c>
      <c r="C254" s="197">
        <v>225</v>
      </c>
      <c r="D254" s="178">
        <f>COUNTA(E254:E257)</f>
        <v>3</v>
      </c>
      <c r="E254" s="42" t="s">
        <v>393</v>
      </c>
      <c r="F254" s="42" t="s">
        <v>15</v>
      </c>
      <c r="G254" s="41" t="s">
        <v>16</v>
      </c>
      <c r="H254" s="42" t="s">
        <v>45</v>
      </c>
      <c r="I254" s="79">
        <v>45151</v>
      </c>
      <c r="J254" s="18">
        <f>C254/D254</f>
        <v>75</v>
      </c>
      <c r="K254" s="13">
        <f t="shared" si="6"/>
        <v>75</v>
      </c>
      <c r="L254" s="11"/>
      <c r="M254" s="40" t="s">
        <v>394</v>
      </c>
    </row>
    <row r="255" spans="1:13" s="1" customFormat="1" ht="30" customHeight="1" x14ac:dyDescent="0.25">
      <c r="A255" s="208"/>
      <c r="B255" s="198"/>
      <c r="C255" s="198"/>
      <c r="D255" s="179"/>
      <c r="E255" s="11"/>
      <c r="F255" s="15"/>
      <c r="G255" s="16"/>
      <c r="H255" s="15"/>
      <c r="I255" s="26"/>
      <c r="J255" s="18"/>
      <c r="K255" s="13"/>
      <c r="L255" s="108"/>
      <c r="M255" s="109"/>
    </row>
    <row r="256" spans="1:13" s="1" customFormat="1" ht="30" customHeight="1" x14ac:dyDescent="0.25">
      <c r="A256" s="208"/>
      <c r="B256" s="198"/>
      <c r="C256" s="198"/>
      <c r="D256" s="179"/>
      <c r="E256" s="24" t="s">
        <v>395</v>
      </c>
      <c r="F256" s="15" t="s">
        <v>15</v>
      </c>
      <c r="G256" s="16" t="s">
        <v>16</v>
      </c>
      <c r="H256" s="15" t="s">
        <v>129</v>
      </c>
      <c r="I256" s="22">
        <v>45908</v>
      </c>
      <c r="J256" s="18">
        <f>C254/D254</f>
        <v>75</v>
      </c>
      <c r="K256" s="13">
        <f t="shared" si="6"/>
        <v>75</v>
      </c>
      <c r="L256" s="11"/>
      <c r="M256" s="24" t="s">
        <v>396</v>
      </c>
    </row>
    <row r="257" spans="1:13" s="1" customFormat="1" ht="30" customHeight="1" x14ac:dyDescent="0.25">
      <c r="A257" s="209"/>
      <c r="B257" s="199"/>
      <c r="C257" s="199"/>
      <c r="D257" s="180"/>
      <c r="E257" s="20" t="s">
        <v>397</v>
      </c>
      <c r="F257" s="36" t="s">
        <v>15</v>
      </c>
      <c r="G257" s="41" t="s">
        <v>16</v>
      </c>
      <c r="H257" s="36" t="s">
        <v>129</v>
      </c>
      <c r="I257" s="22">
        <v>46083</v>
      </c>
      <c r="J257" s="18">
        <f>C254/D254</f>
        <v>75</v>
      </c>
      <c r="K257" s="13">
        <f t="shared" si="6"/>
        <v>75</v>
      </c>
      <c r="L257" s="23"/>
      <c r="M257" s="20"/>
    </row>
    <row r="258" spans="1:13" s="1" customFormat="1" ht="30" customHeight="1" x14ac:dyDescent="0.25">
      <c r="A258" s="207">
        <v>111</v>
      </c>
      <c r="B258" s="197" t="s">
        <v>398</v>
      </c>
      <c r="C258" s="197">
        <v>155</v>
      </c>
      <c r="D258" s="178">
        <f>COUNTA(E258:E261)</f>
        <v>4</v>
      </c>
      <c r="E258" s="110" t="s">
        <v>399</v>
      </c>
      <c r="F258" s="19" t="s">
        <v>15</v>
      </c>
      <c r="G258" s="16" t="s">
        <v>16</v>
      </c>
      <c r="H258" s="19" t="s">
        <v>400</v>
      </c>
      <c r="I258" s="26">
        <v>45411</v>
      </c>
      <c r="J258" s="18">
        <f>C258/D258</f>
        <v>38.75</v>
      </c>
      <c r="K258" s="13">
        <f t="shared" si="6"/>
        <v>38</v>
      </c>
      <c r="L258" s="11"/>
      <c r="M258" s="20" t="s">
        <v>401</v>
      </c>
    </row>
    <row r="259" spans="1:13" s="1" customFormat="1" ht="30" customHeight="1" x14ac:dyDescent="0.25">
      <c r="A259" s="208"/>
      <c r="B259" s="198"/>
      <c r="C259" s="198"/>
      <c r="D259" s="179"/>
      <c r="E259" s="111" t="s">
        <v>402</v>
      </c>
      <c r="F259" s="19" t="s">
        <v>15</v>
      </c>
      <c r="G259" s="16" t="s">
        <v>16</v>
      </c>
      <c r="H259" s="19" t="s">
        <v>400</v>
      </c>
      <c r="I259" s="39">
        <v>45411</v>
      </c>
      <c r="J259" s="18">
        <f>C258/D258</f>
        <v>38.75</v>
      </c>
      <c r="K259" s="13">
        <f t="shared" si="6"/>
        <v>38</v>
      </c>
      <c r="L259" s="23"/>
      <c r="M259" s="20" t="s">
        <v>401</v>
      </c>
    </row>
    <row r="260" spans="1:13" s="1" customFormat="1" ht="30" customHeight="1" x14ac:dyDescent="0.25">
      <c r="A260" s="208"/>
      <c r="B260" s="198"/>
      <c r="C260" s="198"/>
      <c r="D260" s="179"/>
      <c r="E260" s="20" t="s">
        <v>403</v>
      </c>
      <c r="F260" s="19" t="s">
        <v>15</v>
      </c>
      <c r="G260" s="16" t="s">
        <v>16</v>
      </c>
      <c r="H260" s="19" t="s">
        <v>400</v>
      </c>
      <c r="I260" s="22">
        <v>45794</v>
      </c>
      <c r="J260" s="18">
        <f>C258/D258</f>
        <v>38.75</v>
      </c>
      <c r="K260" s="13">
        <f t="shared" si="6"/>
        <v>38</v>
      </c>
      <c r="L260" s="112"/>
      <c r="M260" s="23"/>
    </row>
    <row r="261" spans="1:13" s="1" customFormat="1" ht="30" customHeight="1" x14ac:dyDescent="0.25">
      <c r="A261" s="209"/>
      <c r="B261" s="199"/>
      <c r="C261" s="199"/>
      <c r="D261" s="180"/>
      <c r="E261" s="28" t="s">
        <v>404</v>
      </c>
      <c r="F261" s="19" t="s">
        <v>15</v>
      </c>
      <c r="G261" s="21" t="s">
        <v>85</v>
      </c>
      <c r="H261" s="21" t="s">
        <v>211</v>
      </c>
      <c r="I261" s="26">
        <v>46087</v>
      </c>
      <c r="J261" s="18">
        <f>C258/D258</f>
        <v>38.75</v>
      </c>
      <c r="K261" s="13">
        <f t="shared" si="6"/>
        <v>38</v>
      </c>
      <c r="L261" s="11"/>
      <c r="M261" s="11"/>
    </row>
    <row r="262" spans="1:13" s="1" customFormat="1" ht="30" customHeight="1" x14ac:dyDescent="0.25">
      <c r="A262" s="207">
        <v>112</v>
      </c>
      <c r="B262" s="197" t="s">
        <v>405</v>
      </c>
      <c r="C262" s="197">
        <v>184</v>
      </c>
      <c r="D262" s="178">
        <f>COUNTA(E262:E265)</f>
        <v>4</v>
      </c>
      <c r="E262" s="20" t="s">
        <v>406</v>
      </c>
      <c r="F262" s="15" t="s">
        <v>15</v>
      </c>
      <c r="G262" s="31" t="s">
        <v>16</v>
      </c>
      <c r="H262" s="15" t="s">
        <v>367</v>
      </c>
      <c r="I262" s="22">
        <v>46137</v>
      </c>
      <c r="J262" s="18">
        <v>52.1</v>
      </c>
      <c r="K262" s="13">
        <f t="shared" si="6"/>
        <v>52</v>
      </c>
      <c r="L262" s="11"/>
      <c r="M262" s="11"/>
    </row>
    <row r="263" spans="1:13" s="1" customFormat="1" ht="30" customHeight="1" x14ac:dyDescent="0.25">
      <c r="A263" s="208"/>
      <c r="B263" s="198"/>
      <c r="C263" s="198"/>
      <c r="D263" s="179"/>
      <c r="E263" s="15" t="s">
        <v>407</v>
      </c>
      <c r="F263" s="15" t="s">
        <v>15</v>
      </c>
      <c r="G263" s="31" t="s">
        <v>16</v>
      </c>
      <c r="H263" s="15" t="s">
        <v>367</v>
      </c>
      <c r="I263" s="66"/>
      <c r="J263" s="18">
        <v>52.1</v>
      </c>
      <c r="K263" s="13">
        <f t="shared" si="6"/>
        <v>52</v>
      </c>
      <c r="L263" s="31"/>
      <c r="M263" s="11"/>
    </row>
    <row r="264" spans="1:13" s="1" customFormat="1" ht="30" customHeight="1" x14ac:dyDescent="0.25">
      <c r="A264" s="208"/>
      <c r="B264" s="198"/>
      <c r="C264" s="198"/>
      <c r="D264" s="179"/>
      <c r="E264" s="20" t="s">
        <v>408</v>
      </c>
      <c r="F264" s="15" t="s">
        <v>15</v>
      </c>
      <c r="G264" s="31" t="s">
        <v>16</v>
      </c>
      <c r="H264" s="15" t="s">
        <v>22</v>
      </c>
      <c r="I264" s="25">
        <v>46128</v>
      </c>
      <c r="J264" s="18">
        <v>52.1</v>
      </c>
      <c r="K264" s="13">
        <f t="shared" si="6"/>
        <v>52</v>
      </c>
      <c r="L264" s="112"/>
      <c r="M264" s="101" t="s">
        <v>409</v>
      </c>
    </row>
    <row r="265" spans="1:13" s="1" customFormat="1" ht="30" customHeight="1" x14ac:dyDescent="0.25">
      <c r="A265" s="209"/>
      <c r="B265" s="199"/>
      <c r="C265" s="199"/>
      <c r="D265" s="185"/>
      <c r="E265" s="113" t="s">
        <v>410</v>
      </c>
      <c r="F265" s="15" t="s">
        <v>15</v>
      </c>
      <c r="G265" s="31" t="s">
        <v>16</v>
      </c>
      <c r="H265" s="15" t="s">
        <v>367</v>
      </c>
      <c r="I265" s="26">
        <v>46185</v>
      </c>
      <c r="J265" s="18">
        <v>27.7</v>
      </c>
      <c r="K265" s="13">
        <f t="shared" si="6"/>
        <v>27</v>
      </c>
      <c r="L265" s="108"/>
      <c r="M265" s="73" t="s">
        <v>411</v>
      </c>
    </row>
    <row r="266" spans="1:13" s="1" customFormat="1" ht="30" customHeight="1" x14ac:dyDescent="0.25">
      <c r="A266" s="206">
        <v>113</v>
      </c>
      <c r="B266" s="193" t="s">
        <v>412</v>
      </c>
      <c r="C266" s="193">
        <v>0</v>
      </c>
      <c r="D266" s="178">
        <f>COUNTA(E266:E269)</f>
        <v>3</v>
      </c>
      <c r="E266" s="19" t="s">
        <v>413</v>
      </c>
      <c r="F266" s="19" t="s">
        <v>19</v>
      </c>
      <c r="G266" s="16" t="s">
        <v>16</v>
      </c>
      <c r="H266" s="15" t="s">
        <v>34</v>
      </c>
      <c r="I266" s="39">
        <v>45151</v>
      </c>
      <c r="J266" s="18">
        <f>C266/D266</f>
        <v>0</v>
      </c>
      <c r="K266" s="13"/>
      <c r="L266" s="23"/>
      <c r="M266" s="11"/>
    </row>
    <row r="267" spans="1:13" s="1" customFormat="1" ht="30" customHeight="1" x14ac:dyDescent="0.25">
      <c r="A267" s="206"/>
      <c r="B267" s="193"/>
      <c r="C267" s="193"/>
      <c r="D267" s="179"/>
      <c r="E267" s="20" t="s">
        <v>414</v>
      </c>
      <c r="F267" s="19" t="s">
        <v>19</v>
      </c>
      <c r="G267" s="21" t="s">
        <v>16</v>
      </c>
      <c r="H267" s="15" t="s">
        <v>367</v>
      </c>
      <c r="I267" s="22">
        <v>45705</v>
      </c>
      <c r="J267" s="18">
        <f>C266/D266</f>
        <v>0</v>
      </c>
      <c r="K267" s="13"/>
      <c r="L267" s="23"/>
      <c r="M267" s="101" t="s">
        <v>415</v>
      </c>
    </row>
    <row r="268" spans="1:13" s="1" customFormat="1" ht="30" customHeight="1" x14ac:dyDescent="0.25">
      <c r="A268" s="206"/>
      <c r="B268" s="193"/>
      <c r="C268" s="193"/>
      <c r="D268" s="179"/>
      <c r="E268" s="64" t="s">
        <v>416</v>
      </c>
      <c r="F268" s="15" t="s">
        <v>19</v>
      </c>
      <c r="G268" s="31" t="s">
        <v>16</v>
      </c>
      <c r="H268" s="15" t="s">
        <v>34</v>
      </c>
      <c r="I268" s="66">
        <v>46084</v>
      </c>
      <c r="J268" s="18">
        <f>C266/D266</f>
        <v>0</v>
      </c>
      <c r="K268" s="13"/>
      <c r="L268" s="112"/>
      <c r="M268" s="11"/>
    </row>
    <row r="269" spans="1:13" s="1" customFormat="1" ht="30" customHeight="1" x14ac:dyDescent="0.25">
      <c r="A269" s="206"/>
      <c r="B269" s="193"/>
      <c r="C269" s="193"/>
      <c r="D269" s="180"/>
      <c r="E269" s="20"/>
      <c r="F269" s="15"/>
      <c r="G269" s="31"/>
      <c r="H269" s="15"/>
      <c r="I269" s="22"/>
      <c r="J269" s="18"/>
      <c r="K269" s="13"/>
      <c r="L269" s="112"/>
      <c r="M269" s="11"/>
    </row>
    <row r="270" spans="1:13" s="1" customFormat="1" ht="30" customHeight="1" x14ac:dyDescent="0.25">
      <c r="A270" s="206">
        <v>114</v>
      </c>
      <c r="B270" s="193" t="s">
        <v>417</v>
      </c>
      <c r="C270" s="193">
        <v>0</v>
      </c>
      <c r="D270" s="178">
        <f>COUNTA(E270:E273)</f>
        <v>3</v>
      </c>
      <c r="E270" s="61" t="s">
        <v>418</v>
      </c>
      <c r="F270" s="61" t="s">
        <v>19</v>
      </c>
      <c r="G270" s="16" t="s">
        <v>16</v>
      </c>
      <c r="H270" s="15" t="s">
        <v>28</v>
      </c>
      <c r="I270" s="114">
        <v>45151</v>
      </c>
      <c r="J270" s="18">
        <f>C270/D270</f>
        <v>0</v>
      </c>
      <c r="K270" s="13"/>
      <c r="L270" s="61"/>
      <c r="M270" s="11"/>
    </row>
    <row r="271" spans="1:13" s="1" customFormat="1" ht="30" customHeight="1" x14ac:dyDescent="0.25">
      <c r="A271" s="206"/>
      <c r="B271" s="193"/>
      <c r="C271" s="193"/>
      <c r="D271" s="179"/>
      <c r="E271" s="15" t="s">
        <v>419</v>
      </c>
      <c r="F271" s="15" t="s">
        <v>19</v>
      </c>
      <c r="G271" s="31" t="s">
        <v>16</v>
      </c>
      <c r="H271" s="15" t="s">
        <v>34</v>
      </c>
      <c r="I271" s="114">
        <v>45151</v>
      </c>
      <c r="J271" s="18">
        <f>C270/D270</f>
        <v>0</v>
      </c>
      <c r="K271" s="13"/>
      <c r="L271" s="15"/>
      <c r="M271" s="11"/>
    </row>
    <row r="272" spans="1:13" s="1" customFormat="1" ht="30" customHeight="1" x14ac:dyDescent="0.25">
      <c r="A272" s="206"/>
      <c r="B272" s="193"/>
      <c r="C272" s="193"/>
      <c r="D272" s="179"/>
      <c r="E272" s="20" t="s">
        <v>420</v>
      </c>
      <c r="F272" s="15" t="s">
        <v>19</v>
      </c>
      <c r="G272" s="31" t="s">
        <v>16</v>
      </c>
      <c r="H272" s="15" t="s">
        <v>34</v>
      </c>
      <c r="I272" s="94">
        <v>46083</v>
      </c>
      <c r="J272" s="18">
        <f>C270/D270</f>
        <v>0</v>
      </c>
      <c r="K272" s="13"/>
      <c r="L272" s="20"/>
      <c r="M272" s="11"/>
    </row>
    <row r="273" spans="1:13" s="1" customFormat="1" ht="30" customHeight="1" x14ac:dyDescent="0.25">
      <c r="A273" s="206"/>
      <c r="B273" s="193"/>
      <c r="C273" s="193"/>
      <c r="D273" s="180"/>
      <c r="E273" s="20"/>
      <c r="F273" s="15"/>
      <c r="G273" s="31"/>
      <c r="H273" s="15"/>
      <c r="I273" s="22"/>
      <c r="J273" s="18"/>
      <c r="K273" s="13"/>
      <c r="L273" s="20"/>
      <c r="M273" s="11"/>
    </row>
    <row r="274" spans="1:13" s="1" customFormat="1" ht="30" customHeight="1" x14ac:dyDescent="0.25">
      <c r="A274" s="206">
        <v>115</v>
      </c>
      <c r="B274" s="193" t="s">
        <v>421</v>
      </c>
      <c r="C274" s="193">
        <v>35</v>
      </c>
      <c r="D274" s="178">
        <f>COUNTA(E274:E277)</f>
        <v>3</v>
      </c>
      <c r="E274" s="15" t="s">
        <v>422</v>
      </c>
      <c r="F274" s="15" t="s">
        <v>19</v>
      </c>
      <c r="G274" s="16" t="s">
        <v>16</v>
      </c>
      <c r="H274" s="15" t="s">
        <v>34</v>
      </c>
      <c r="I274" s="39">
        <v>45151</v>
      </c>
      <c r="J274" s="18">
        <f>C274/D274</f>
        <v>11.666666666666666</v>
      </c>
      <c r="K274" s="13">
        <f t="shared" ref="K274:K303" si="7">TRUNC(J274)</f>
        <v>11</v>
      </c>
      <c r="L274" s="11"/>
      <c r="M274" s="11"/>
    </row>
    <row r="275" spans="1:13" s="1" customFormat="1" ht="30" customHeight="1" x14ac:dyDescent="0.25">
      <c r="A275" s="206"/>
      <c r="B275" s="193"/>
      <c r="C275" s="193"/>
      <c r="D275" s="179"/>
      <c r="E275" s="15" t="s">
        <v>423</v>
      </c>
      <c r="F275" s="15" t="s">
        <v>19</v>
      </c>
      <c r="G275" s="16" t="s">
        <v>16</v>
      </c>
      <c r="H275" s="15" t="s">
        <v>34</v>
      </c>
      <c r="I275" s="39">
        <v>45151</v>
      </c>
      <c r="J275" s="18">
        <f>C274/D274</f>
        <v>11.666666666666666</v>
      </c>
      <c r="K275" s="13">
        <f t="shared" si="7"/>
        <v>11</v>
      </c>
      <c r="L275" s="11"/>
      <c r="M275" s="11"/>
    </row>
    <row r="276" spans="1:13" s="1" customFormat="1" ht="30" customHeight="1" x14ac:dyDescent="0.25">
      <c r="A276" s="206"/>
      <c r="B276" s="193"/>
      <c r="C276" s="193"/>
      <c r="D276" s="179"/>
      <c r="E276" s="15" t="s">
        <v>424</v>
      </c>
      <c r="F276" s="19" t="s">
        <v>19</v>
      </c>
      <c r="G276" s="21" t="s">
        <v>16</v>
      </c>
      <c r="H276" s="15" t="s">
        <v>38</v>
      </c>
      <c r="I276" s="26">
        <v>45212</v>
      </c>
      <c r="J276" s="18">
        <f>C274/D274</f>
        <v>11.666666666666666</v>
      </c>
      <c r="K276" s="13">
        <f t="shared" si="7"/>
        <v>11</v>
      </c>
      <c r="L276" s="23"/>
      <c r="M276" s="11" t="s">
        <v>425</v>
      </c>
    </row>
    <row r="277" spans="1:13" s="1" customFormat="1" ht="30" customHeight="1" x14ac:dyDescent="0.25">
      <c r="A277" s="206"/>
      <c r="B277" s="193"/>
      <c r="C277" s="193"/>
      <c r="D277" s="180"/>
      <c r="E277" s="23"/>
      <c r="F277" s="43"/>
      <c r="G277" s="27"/>
      <c r="H277" s="43"/>
      <c r="I277" s="45"/>
      <c r="J277" s="18"/>
      <c r="K277" s="13"/>
      <c r="L277" s="23"/>
      <c r="M277" s="23"/>
    </row>
    <row r="278" spans="1:13" s="1" customFormat="1" ht="30" customHeight="1" x14ac:dyDescent="0.25">
      <c r="A278" s="206">
        <v>116</v>
      </c>
      <c r="B278" s="193" t="s">
        <v>426</v>
      </c>
      <c r="C278" s="193">
        <v>17</v>
      </c>
      <c r="D278" s="178">
        <f>COUNTA(E278:E281)</f>
        <v>3</v>
      </c>
      <c r="E278" s="24" t="s">
        <v>427</v>
      </c>
      <c r="F278" s="15" t="s">
        <v>19</v>
      </c>
      <c r="G278" s="31" t="s">
        <v>16</v>
      </c>
      <c r="H278" s="15" t="s">
        <v>34</v>
      </c>
      <c r="I278" s="25">
        <v>46088</v>
      </c>
      <c r="J278" s="18">
        <f>C278/D278</f>
        <v>5.666666666666667</v>
      </c>
      <c r="K278" s="13">
        <f t="shared" si="7"/>
        <v>5</v>
      </c>
      <c r="L278" s="23"/>
      <c r="M278" s="11"/>
    </row>
    <row r="279" spans="1:13" s="1" customFormat="1" ht="30" customHeight="1" x14ac:dyDescent="0.25">
      <c r="A279" s="206"/>
      <c r="B279" s="193"/>
      <c r="C279" s="193"/>
      <c r="D279" s="179"/>
      <c r="E279" s="15"/>
      <c r="F279" s="15"/>
      <c r="G279" s="31"/>
      <c r="H279" s="15"/>
      <c r="I279" s="114"/>
      <c r="J279" s="18"/>
      <c r="K279" s="13"/>
      <c r="L279" s="11"/>
      <c r="M279" s="11"/>
    </row>
    <row r="280" spans="1:13" s="1" customFormat="1" ht="30" customHeight="1" x14ac:dyDescent="0.25">
      <c r="A280" s="206"/>
      <c r="B280" s="193"/>
      <c r="C280" s="193"/>
      <c r="D280" s="179"/>
      <c r="E280" s="15" t="s">
        <v>428</v>
      </c>
      <c r="F280" s="15" t="s">
        <v>19</v>
      </c>
      <c r="G280" s="16" t="s">
        <v>16</v>
      </c>
      <c r="H280" s="15" t="s">
        <v>17</v>
      </c>
      <c r="I280" s="114">
        <v>45151</v>
      </c>
      <c r="J280" s="18">
        <f>C278/D278</f>
        <v>5.666666666666667</v>
      </c>
      <c r="K280" s="13">
        <f t="shared" si="7"/>
        <v>5</v>
      </c>
      <c r="L280" s="11"/>
      <c r="M280" s="11"/>
    </row>
    <row r="281" spans="1:13" s="1" customFormat="1" ht="30" customHeight="1" x14ac:dyDescent="0.25">
      <c r="A281" s="206"/>
      <c r="B281" s="193"/>
      <c r="C281" s="193"/>
      <c r="D281" s="180"/>
      <c r="E281" s="20" t="s">
        <v>429</v>
      </c>
      <c r="F281" s="15" t="s">
        <v>19</v>
      </c>
      <c r="G281" s="16" t="s">
        <v>16</v>
      </c>
      <c r="H281" s="15" t="s">
        <v>17</v>
      </c>
      <c r="I281" s="20" t="s">
        <v>148</v>
      </c>
      <c r="J281" s="18">
        <f>C278/D278</f>
        <v>5.666666666666667</v>
      </c>
      <c r="K281" s="13">
        <f t="shared" si="7"/>
        <v>5</v>
      </c>
      <c r="L281" s="23"/>
      <c r="M281" s="20"/>
    </row>
    <row r="282" spans="1:13" s="1" customFormat="1" ht="30" customHeight="1" x14ac:dyDescent="0.25">
      <c r="A282" s="206">
        <v>117</v>
      </c>
      <c r="B282" s="193" t="s">
        <v>430</v>
      </c>
      <c r="C282" s="193">
        <v>6</v>
      </c>
      <c r="D282" s="178">
        <f>COUNTA(E282:E285)</f>
        <v>3</v>
      </c>
      <c r="E282" s="23"/>
      <c r="F282" s="43"/>
      <c r="G282" s="44"/>
      <c r="H282" s="43"/>
      <c r="I282" s="45"/>
      <c r="J282" s="18"/>
      <c r="K282" s="13"/>
      <c r="L282" s="23"/>
      <c r="M282" s="11"/>
    </row>
    <row r="283" spans="1:13" s="1" customFormat="1" ht="30" customHeight="1" x14ac:dyDescent="0.25">
      <c r="A283" s="206"/>
      <c r="B283" s="193"/>
      <c r="C283" s="193"/>
      <c r="D283" s="179"/>
      <c r="E283" s="15" t="s">
        <v>431</v>
      </c>
      <c r="F283" s="15" t="s">
        <v>19</v>
      </c>
      <c r="G283" s="16" t="s">
        <v>16</v>
      </c>
      <c r="H283" s="15" t="s">
        <v>22</v>
      </c>
      <c r="I283" s="39">
        <v>45447</v>
      </c>
      <c r="J283" s="18">
        <f>C282/D282</f>
        <v>2</v>
      </c>
      <c r="K283" s="13">
        <f t="shared" si="7"/>
        <v>2</v>
      </c>
      <c r="L283" s="23"/>
      <c r="M283" s="11" t="s">
        <v>432</v>
      </c>
    </row>
    <row r="284" spans="1:13" s="1" customFormat="1" ht="30" customHeight="1" x14ac:dyDescent="0.25">
      <c r="A284" s="206"/>
      <c r="B284" s="193"/>
      <c r="C284" s="193"/>
      <c r="D284" s="179"/>
      <c r="E284" s="19" t="s">
        <v>433</v>
      </c>
      <c r="F284" s="19" t="s">
        <v>19</v>
      </c>
      <c r="G284" s="16" t="s">
        <v>16</v>
      </c>
      <c r="H284" s="19" t="s">
        <v>17</v>
      </c>
      <c r="I284" s="114">
        <v>45151</v>
      </c>
      <c r="J284" s="18">
        <f>C282/D282</f>
        <v>2</v>
      </c>
      <c r="K284" s="13">
        <f t="shared" si="7"/>
        <v>2</v>
      </c>
      <c r="L284" s="11"/>
      <c r="M284" s="11"/>
    </row>
    <row r="285" spans="1:13" s="1" customFormat="1" ht="30" customHeight="1" x14ac:dyDescent="0.25">
      <c r="A285" s="206"/>
      <c r="B285" s="193"/>
      <c r="C285" s="193"/>
      <c r="D285" s="180"/>
      <c r="E285" s="110" t="s">
        <v>434</v>
      </c>
      <c r="F285" s="19" t="s">
        <v>19</v>
      </c>
      <c r="G285" s="16" t="s">
        <v>16</v>
      </c>
      <c r="H285" s="19" t="s">
        <v>17</v>
      </c>
      <c r="I285" s="39">
        <v>45536</v>
      </c>
      <c r="J285" s="18">
        <f>C282/D282</f>
        <v>2</v>
      </c>
      <c r="K285" s="13">
        <f t="shared" si="7"/>
        <v>2</v>
      </c>
      <c r="L285" s="11"/>
      <c r="M285" s="11"/>
    </row>
    <row r="286" spans="1:13" s="1" customFormat="1" ht="30" customHeight="1" x14ac:dyDescent="0.25">
      <c r="A286" s="206">
        <v>118</v>
      </c>
      <c r="B286" s="193" t="s">
        <v>435</v>
      </c>
      <c r="C286" s="193">
        <v>0</v>
      </c>
      <c r="D286" s="178">
        <f>COUNTA(E286:E289)</f>
        <v>4</v>
      </c>
      <c r="E286" s="43" t="s">
        <v>436</v>
      </c>
      <c r="F286" s="15" t="s">
        <v>19</v>
      </c>
      <c r="G286" s="16" t="s">
        <v>16</v>
      </c>
      <c r="H286" s="15" t="s">
        <v>129</v>
      </c>
      <c r="I286" s="114">
        <v>45151</v>
      </c>
      <c r="J286" s="18">
        <f>C286/D286</f>
        <v>0</v>
      </c>
      <c r="K286" s="13"/>
      <c r="L286" s="115">
        <v>46188</v>
      </c>
      <c r="M286" s="11" t="s">
        <v>437</v>
      </c>
    </row>
    <row r="287" spans="1:13" s="1" customFormat="1" ht="30" customHeight="1" x14ac:dyDescent="0.25">
      <c r="A287" s="206"/>
      <c r="B287" s="193"/>
      <c r="C287" s="193"/>
      <c r="D287" s="179"/>
      <c r="E287" s="110" t="s">
        <v>438</v>
      </c>
      <c r="F287" s="15" t="s">
        <v>19</v>
      </c>
      <c r="G287" s="16" t="s">
        <v>16</v>
      </c>
      <c r="H287" s="29" t="s">
        <v>22</v>
      </c>
      <c r="I287" s="114">
        <v>45151</v>
      </c>
      <c r="J287" s="18">
        <f>C286/D286</f>
        <v>0</v>
      </c>
      <c r="K287" s="13"/>
      <c r="L287" s="11"/>
      <c r="M287" s="11"/>
    </row>
    <row r="288" spans="1:13" s="1" customFormat="1" ht="30" customHeight="1" x14ac:dyDescent="0.25">
      <c r="A288" s="206"/>
      <c r="B288" s="193"/>
      <c r="C288" s="193"/>
      <c r="D288" s="179"/>
      <c r="E288" s="110" t="s">
        <v>439</v>
      </c>
      <c r="F288" s="19" t="s">
        <v>19</v>
      </c>
      <c r="G288" s="16" t="s">
        <v>16</v>
      </c>
      <c r="H288" s="19" t="s">
        <v>129</v>
      </c>
      <c r="I288" s="39">
        <v>45341</v>
      </c>
      <c r="J288" s="18">
        <f>C286/D286</f>
        <v>0</v>
      </c>
      <c r="K288" s="13"/>
      <c r="L288" s="11"/>
      <c r="M288" s="11"/>
    </row>
    <row r="289" spans="1:13" s="1" customFormat="1" ht="30" customHeight="1" x14ac:dyDescent="0.25">
      <c r="A289" s="206"/>
      <c r="B289" s="193"/>
      <c r="C289" s="193"/>
      <c r="D289" s="180"/>
      <c r="E289" s="20" t="s">
        <v>440</v>
      </c>
      <c r="F289" s="19" t="s">
        <v>19</v>
      </c>
      <c r="G289" s="16" t="s">
        <v>16</v>
      </c>
      <c r="H289" s="19" t="s">
        <v>129</v>
      </c>
      <c r="I289" s="22">
        <v>46083</v>
      </c>
      <c r="J289" s="18">
        <f>C286/D286</f>
        <v>0</v>
      </c>
      <c r="K289" s="13"/>
      <c r="L289" s="21"/>
      <c r="M289" s="116"/>
    </row>
    <row r="290" spans="1:13" s="1" customFormat="1" ht="30" customHeight="1" x14ac:dyDescent="0.25">
      <c r="A290" s="206">
        <v>119</v>
      </c>
      <c r="B290" s="193" t="s">
        <v>441</v>
      </c>
      <c r="C290" s="193">
        <v>98</v>
      </c>
      <c r="D290" s="178">
        <f>COUNTA(E290:E293)</f>
        <v>4</v>
      </c>
      <c r="E290" s="19" t="s">
        <v>442</v>
      </c>
      <c r="F290" s="15" t="s">
        <v>19</v>
      </c>
      <c r="G290" s="16" t="s">
        <v>16</v>
      </c>
      <c r="H290" s="15" t="s">
        <v>38</v>
      </c>
      <c r="I290" s="39">
        <v>45477</v>
      </c>
      <c r="J290" s="18">
        <f>C290/D290</f>
        <v>24.5</v>
      </c>
      <c r="K290" s="13">
        <f t="shared" si="7"/>
        <v>24</v>
      </c>
      <c r="L290" s="11"/>
      <c r="M290" s="11"/>
    </row>
    <row r="291" spans="1:13" s="1" customFormat="1" ht="30" customHeight="1" x14ac:dyDescent="0.25">
      <c r="A291" s="206"/>
      <c r="B291" s="193"/>
      <c r="C291" s="193"/>
      <c r="D291" s="179"/>
      <c r="E291" s="11" t="s">
        <v>443</v>
      </c>
      <c r="F291" s="15" t="s">
        <v>19</v>
      </c>
      <c r="G291" s="16" t="s">
        <v>16</v>
      </c>
      <c r="H291" s="15" t="s">
        <v>367</v>
      </c>
      <c r="I291" s="26">
        <v>45584</v>
      </c>
      <c r="J291" s="18">
        <f>C290/D290</f>
        <v>24.5</v>
      </c>
      <c r="K291" s="13">
        <f t="shared" si="7"/>
        <v>24</v>
      </c>
      <c r="L291" s="11"/>
      <c r="M291" s="11"/>
    </row>
    <row r="292" spans="1:13" s="1" customFormat="1" ht="30" customHeight="1" x14ac:dyDescent="0.25">
      <c r="A292" s="206"/>
      <c r="B292" s="193"/>
      <c r="C292" s="193"/>
      <c r="D292" s="179"/>
      <c r="E292" s="40" t="s">
        <v>444</v>
      </c>
      <c r="F292" s="36" t="s">
        <v>19</v>
      </c>
      <c r="G292" s="41" t="s">
        <v>16</v>
      </c>
      <c r="H292" s="36" t="s">
        <v>367</v>
      </c>
      <c r="I292" s="94">
        <v>46083</v>
      </c>
      <c r="J292" s="18">
        <f>C290/D290</f>
        <v>24.5</v>
      </c>
      <c r="K292" s="13">
        <f t="shared" si="7"/>
        <v>24</v>
      </c>
      <c r="L292" s="23"/>
      <c r="M292" s="23"/>
    </row>
    <row r="293" spans="1:13" s="1" customFormat="1" ht="30" customHeight="1" x14ac:dyDescent="0.25">
      <c r="A293" s="206"/>
      <c r="B293" s="193"/>
      <c r="C293" s="193"/>
      <c r="D293" s="180"/>
      <c r="E293" s="20" t="s">
        <v>445</v>
      </c>
      <c r="F293" s="36" t="s">
        <v>19</v>
      </c>
      <c r="G293" s="41" t="s">
        <v>16</v>
      </c>
      <c r="H293" s="36" t="s">
        <v>367</v>
      </c>
      <c r="I293" s="22">
        <v>46119</v>
      </c>
      <c r="J293" s="18">
        <f>C290/D290</f>
        <v>24.5</v>
      </c>
      <c r="K293" s="13">
        <f t="shared" si="7"/>
        <v>24</v>
      </c>
      <c r="L293" s="11"/>
      <c r="M293" s="23"/>
    </row>
    <row r="294" spans="1:13" s="1" customFormat="1" ht="30" customHeight="1" x14ac:dyDescent="0.25">
      <c r="A294" s="206">
        <v>120</v>
      </c>
      <c r="B294" s="193" t="s">
        <v>446</v>
      </c>
      <c r="C294" s="193">
        <v>308</v>
      </c>
      <c r="D294" s="178">
        <f>COUNTA(E294:E297)</f>
        <v>4</v>
      </c>
      <c r="E294" s="15" t="s">
        <v>447</v>
      </c>
      <c r="F294" s="15" t="s">
        <v>15</v>
      </c>
      <c r="G294" s="31" t="s">
        <v>16</v>
      </c>
      <c r="H294" s="15" t="s">
        <v>38</v>
      </c>
      <c r="I294" s="117">
        <v>45151</v>
      </c>
      <c r="J294" s="18">
        <f>C294/D294</f>
        <v>77</v>
      </c>
      <c r="K294" s="13">
        <f t="shared" si="7"/>
        <v>77</v>
      </c>
      <c r="L294" s="11"/>
      <c r="M294" s="11"/>
    </row>
    <row r="295" spans="1:13" s="1" customFormat="1" ht="30" customHeight="1" x14ac:dyDescent="0.25">
      <c r="A295" s="206"/>
      <c r="B295" s="193"/>
      <c r="C295" s="193"/>
      <c r="D295" s="179"/>
      <c r="E295" s="118" t="s">
        <v>448</v>
      </c>
      <c r="F295" s="15" t="s">
        <v>15</v>
      </c>
      <c r="G295" s="16" t="s">
        <v>16</v>
      </c>
      <c r="H295" s="15" t="s">
        <v>38</v>
      </c>
      <c r="I295" s="114">
        <v>45151</v>
      </c>
      <c r="J295" s="18">
        <f>C294/D294</f>
        <v>77</v>
      </c>
      <c r="K295" s="13">
        <f t="shared" si="7"/>
        <v>77</v>
      </c>
      <c r="L295" s="11"/>
      <c r="M295" s="11"/>
    </row>
    <row r="296" spans="1:13" s="1" customFormat="1" ht="30" customHeight="1" x14ac:dyDescent="0.25">
      <c r="A296" s="206"/>
      <c r="B296" s="193"/>
      <c r="C296" s="193"/>
      <c r="D296" s="179"/>
      <c r="E296" s="11" t="s">
        <v>449</v>
      </c>
      <c r="F296" s="15" t="s">
        <v>15</v>
      </c>
      <c r="G296" s="16" t="s">
        <v>16</v>
      </c>
      <c r="H296" s="15" t="s">
        <v>38</v>
      </c>
      <c r="I296" s="26">
        <v>45819</v>
      </c>
      <c r="J296" s="18">
        <f>C294/D294</f>
        <v>77</v>
      </c>
      <c r="K296" s="13">
        <f t="shared" si="7"/>
        <v>77</v>
      </c>
      <c r="L296" s="11"/>
      <c r="M296" s="11"/>
    </row>
    <row r="297" spans="1:13" s="1" customFormat="1" ht="30" customHeight="1" x14ac:dyDescent="0.25">
      <c r="A297" s="206"/>
      <c r="B297" s="193"/>
      <c r="C297" s="193"/>
      <c r="D297" s="180"/>
      <c r="E297" s="15" t="s">
        <v>450</v>
      </c>
      <c r="F297" s="61" t="s">
        <v>15</v>
      </c>
      <c r="G297" s="16" t="s">
        <v>16</v>
      </c>
      <c r="H297" s="15" t="s">
        <v>38</v>
      </c>
      <c r="I297" s="114">
        <v>45151</v>
      </c>
      <c r="J297" s="18">
        <f>C294/D294</f>
        <v>77</v>
      </c>
      <c r="K297" s="13">
        <f t="shared" si="7"/>
        <v>77</v>
      </c>
      <c r="L297" s="11"/>
      <c r="M297" s="11"/>
    </row>
    <row r="298" spans="1:13" s="1" customFormat="1" ht="30" customHeight="1" x14ac:dyDescent="0.25">
      <c r="A298" s="206">
        <v>121</v>
      </c>
      <c r="B298" s="193" t="s">
        <v>451</v>
      </c>
      <c r="C298" s="193">
        <v>281</v>
      </c>
      <c r="D298" s="178">
        <f>COUNTA(E298:E301)</f>
        <v>2</v>
      </c>
      <c r="E298" s="119"/>
      <c r="F298" s="19"/>
      <c r="G298" s="16"/>
      <c r="H298" s="31"/>
      <c r="I298" s="32"/>
      <c r="J298" s="18"/>
      <c r="K298" s="13"/>
      <c r="L298" s="23"/>
      <c r="M298" s="11"/>
    </row>
    <row r="299" spans="1:13" s="1" customFormat="1" ht="30" customHeight="1" x14ac:dyDescent="0.25">
      <c r="A299" s="206"/>
      <c r="B299" s="193"/>
      <c r="C299" s="193"/>
      <c r="D299" s="179"/>
      <c r="E299" s="15" t="s">
        <v>452</v>
      </c>
      <c r="F299" s="15" t="s">
        <v>15</v>
      </c>
      <c r="G299" s="16" t="s">
        <v>16</v>
      </c>
      <c r="H299" s="15" t="s">
        <v>38</v>
      </c>
      <c r="I299" s="114">
        <v>45151</v>
      </c>
      <c r="J299" s="18">
        <f>C298/D298</f>
        <v>140.5</v>
      </c>
      <c r="K299" s="13">
        <f t="shared" si="7"/>
        <v>140</v>
      </c>
      <c r="L299" s="11"/>
      <c r="M299" s="11"/>
    </row>
    <row r="300" spans="1:13" s="1" customFormat="1" ht="30" customHeight="1" x14ac:dyDescent="0.25">
      <c r="A300" s="206"/>
      <c r="B300" s="193"/>
      <c r="C300" s="193"/>
      <c r="D300" s="179"/>
      <c r="E300" s="11" t="s">
        <v>453</v>
      </c>
      <c r="F300" s="15" t="s">
        <v>15</v>
      </c>
      <c r="G300" s="16" t="s">
        <v>16</v>
      </c>
      <c r="H300" s="15" t="s">
        <v>38</v>
      </c>
      <c r="I300" s="26">
        <v>45812</v>
      </c>
      <c r="J300" s="18">
        <f>C298/D298</f>
        <v>140.5</v>
      </c>
      <c r="K300" s="13">
        <f t="shared" si="7"/>
        <v>140</v>
      </c>
      <c r="L300" s="11"/>
      <c r="M300" s="11"/>
    </row>
    <row r="301" spans="1:13" s="1" customFormat="1" ht="30" customHeight="1" x14ac:dyDescent="0.25">
      <c r="A301" s="206"/>
      <c r="B301" s="193"/>
      <c r="C301" s="193"/>
      <c r="D301" s="180"/>
      <c r="E301" s="112"/>
      <c r="F301" s="43"/>
      <c r="G301" s="44"/>
      <c r="H301" s="43"/>
      <c r="I301" s="46"/>
      <c r="J301" s="18"/>
      <c r="K301" s="13"/>
      <c r="L301" s="20"/>
      <c r="M301" s="11"/>
    </row>
    <row r="302" spans="1:13" s="1" customFormat="1" ht="30" customHeight="1" x14ac:dyDescent="0.25">
      <c r="A302" s="206">
        <v>122</v>
      </c>
      <c r="B302" s="193" t="s">
        <v>454</v>
      </c>
      <c r="C302" s="193">
        <v>310</v>
      </c>
      <c r="D302" s="178">
        <f>COUNTA(E302:E305)</f>
        <v>4</v>
      </c>
      <c r="E302" s="15" t="s">
        <v>455</v>
      </c>
      <c r="F302" s="19" t="s">
        <v>15</v>
      </c>
      <c r="G302" s="16" t="s">
        <v>16</v>
      </c>
      <c r="H302" s="15" t="s">
        <v>38</v>
      </c>
      <c r="I302" s="39">
        <v>45151</v>
      </c>
      <c r="J302" s="18">
        <f>C302/D302</f>
        <v>77.5</v>
      </c>
      <c r="K302" s="13">
        <f t="shared" si="7"/>
        <v>77</v>
      </c>
      <c r="L302" s="11"/>
      <c r="M302" s="11"/>
    </row>
    <row r="303" spans="1:13" s="1" customFormat="1" ht="30" customHeight="1" x14ac:dyDescent="0.25">
      <c r="A303" s="206"/>
      <c r="B303" s="193"/>
      <c r="C303" s="193"/>
      <c r="D303" s="179"/>
      <c r="E303" s="15" t="s">
        <v>456</v>
      </c>
      <c r="F303" s="15" t="s">
        <v>15</v>
      </c>
      <c r="G303" s="16" t="s">
        <v>16</v>
      </c>
      <c r="H303" s="15" t="s">
        <v>38</v>
      </c>
      <c r="I303" s="39">
        <v>45151</v>
      </c>
      <c r="J303" s="18">
        <f>C302/D302</f>
        <v>77.5</v>
      </c>
      <c r="K303" s="13">
        <f t="shared" si="7"/>
        <v>77</v>
      </c>
      <c r="L303" s="112"/>
      <c r="M303" s="11"/>
    </row>
    <row r="304" spans="1:13" s="1" customFormat="1" ht="30" customHeight="1" x14ac:dyDescent="0.25">
      <c r="A304" s="206"/>
      <c r="B304" s="193"/>
      <c r="C304" s="193"/>
      <c r="D304" s="179"/>
      <c r="E304" s="118" t="s">
        <v>457</v>
      </c>
      <c r="F304" s="47" t="s">
        <v>15</v>
      </c>
      <c r="G304" s="88" t="s">
        <v>16</v>
      </c>
      <c r="H304" s="47" t="s">
        <v>38</v>
      </c>
      <c r="I304" s="120">
        <v>45151</v>
      </c>
      <c r="J304" s="18">
        <f>C302/D302</f>
        <v>77.5</v>
      </c>
      <c r="K304" s="13">
        <f t="shared" ref="K304:K330" si="8">TRUNC(J304)</f>
        <v>77</v>
      </c>
      <c r="L304" s="23"/>
      <c r="M304" s="121"/>
    </row>
    <row r="305" spans="1:13" s="1" customFormat="1" ht="30" customHeight="1" x14ac:dyDescent="0.25">
      <c r="A305" s="206"/>
      <c r="B305" s="193"/>
      <c r="C305" s="193"/>
      <c r="D305" s="185"/>
      <c r="E305" s="113" t="s">
        <v>458</v>
      </c>
      <c r="F305" s="47" t="s">
        <v>15</v>
      </c>
      <c r="G305" s="88" t="s">
        <v>16</v>
      </c>
      <c r="H305" s="47" t="s">
        <v>38</v>
      </c>
      <c r="I305" s="25">
        <v>46184</v>
      </c>
      <c r="J305" s="18">
        <f>C302/D302</f>
        <v>77.5</v>
      </c>
      <c r="K305" s="13">
        <f t="shared" si="8"/>
        <v>77</v>
      </c>
      <c r="L305" s="24"/>
      <c r="M305" s="122" t="s">
        <v>204</v>
      </c>
    </row>
    <row r="306" spans="1:13" s="1" customFormat="1" ht="30" customHeight="1" x14ac:dyDescent="0.25">
      <c r="A306" s="206">
        <v>123</v>
      </c>
      <c r="B306" s="193" t="s">
        <v>459</v>
      </c>
      <c r="C306" s="193">
        <v>0</v>
      </c>
      <c r="D306" s="178">
        <f>COUNTA(E306:E309)</f>
        <v>4</v>
      </c>
      <c r="E306" s="61" t="s">
        <v>460</v>
      </c>
      <c r="F306" s="19" t="s">
        <v>15</v>
      </c>
      <c r="G306" s="16" t="s">
        <v>16</v>
      </c>
      <c r="H306" s="15" t="s">
        <v>38</v>
      </c>
      <c r="I306" s="114">
        <v>45151</v>
      </c>
      <c r="J306" s="18">
        <f>C306/D306</f>
        <v>0</v>
      </c>
      <c r="K306" s="13"/>
      <c r="L306" s="11"/>
      <c r="M306" s="11"/>
    </row>
    <row r="307" spans="1:13" s="1" customFormat="1" ht="30" customHeight="1" x14ac:dyDescent="0.25">
      <c r="A307" s="206"/>
      <c r="B307" s="193"/>
      <c r="C307" s="193"/>
      <c r="D307" s="179"/>
      <c r="E307" s="15" t="s">
        <v>461</v>
      </c>
      <c r="F307" s="61" t="s">
        <v>15</v>
      </c>
      <c r="G307" s="16" t="s">
        <v>16</v>
      </c>
      <c r="H307" s="15" t="s">
        <v>38</v>
      </c>
      <c r="I307" s="114">
        <v>45151</v>
      </c>
      <c r="J307" s="18">
        <f>C306/D306</f>
        <v>0</v>
      </c>
      <c r="K307" s="13"/>
      <c r="L307" s="11"/>
      <c r="M307" s="11"/>
    </row>
    <row r="308" spans="1:13" s="1" customFormat="1" ht="30" customHeight="1" x14ac:dyDescent="0.25">
      <c r="A308" s="206"/>
      <c r="B308" s="193"/>
      <c r="C308" s="193"/>
      <c r="D308" s="179"/>
      <c r="E308" s="15" t="s">
        <v>462</v>
      </c>
      <c r="F308" s="19" t="s">
        <v>15</v>
      </c>
      <c r="G308" s="16" t="s">
        <v>16</v>
      </c>
      <c r="H308" s="15" t="s">
        <v>38</v>
      </c>
      <c r="I308" s="114">
        <v>45151</v>
      </c>
      <c r="J308" s="18">
        <f>C306/D306</f>
        <v>0</v>
      </c>
      <c r="K308" s="13"/>
      <c r="L308" s="11"/>
      <c r="M308" s="11"/>
    </row>
    <row r="309" spans="1:13" s="1" customFormat="1" ht="30" customHeight="1" x14ac:dyDescent="0.25">
      <c r="A309" s="206"/>
      <c r="B309" s="193"/>
      <c r="C309" s="193"/>
      <c r="D309" s="180"/>
      <c r="E309" s="15" t="s">
        <v>463</v>
      </c>
      <c r="F309" s="61" t="s">
        <v>15</v>
      </c>
      <c r="G309" s="16" t="s">
        <v>16</v>
      </c>
      <c r="H309" s="15" t="s">
        <v>38</v>
      </c>
      <c r="I309" s="114">
        <v>45151</v>
      </c>
      <c r="J309" s="18">
        <f>C306/D306</f>
        <v>0</v>
      </c>
      <c r="K309" s="13"/>
      <c r="L309" s="11"/>
      <c r="M309" s="11"/>
    </row>
    <row r="310" spans="1:13" s="1" customFormat="1" ht="30" customHeight="1" x14ac:dyDescent="0.25">
      <c r="A310" s="206">
        <v>124</v>
      </c>
      <c r="B310" s="193" t="s">
        <v>464</v>
      </c>
      <c r="C310" s="193">
        <v>49</v>
      </c>
      <c r="D310" s="178">
        <f>COUNTA(E310:E313)</f>
        <v>4</v>
      </c>
      <c r="E310" s="15" t="s">
        <v>465</v>
      </c>
      <c r="F310" s="61" t="s">
        <v>15</v>
      </c>
      <c r="G310" s="16" t="s">
        <v>16</v>
      </c>
      <c r="H310" s="15" t="s">
        <v>38</v>
      </c>
      <c r="I310" s="114">
        <v>45151</v>
      </c>
      <c r="J310" s="18">
        <f>C310/D310</f>
        <v>12.25</v>
      </c>
      <c r="K310" s="13">
        <f t="shared" si="8"/>
        <v>12</v>
      </c>
      <c r="L310" s="11"/>
      <c r="M310" s="11"/>
    </row>
    <row r="311" spans="1:13" s="1" customFormat="1" ht="30" customHeight="1" x14ac:dyDescent="0.25">
      <c r="A311" s="206"/>
      <c r="B311" s="193"/>
      <c r="C311" s="193"/>
      <c r="D311" s="179"/>
      <c r="E311" s="15" t="s">
        <v>466</v>
      </c>
      <c r="F311" s="15" t="s">
        <v>15</v>
      </c>
      <c r="G311" s="16" t="s">
        <v>16</v>
      </c>
      <c r="H311" s="15" t="s">
        <v>38</v>
      </c>
      <c r="I311" s="114">
        <v>45151</v>
      </c>
      <c r="J311" s="18">
        <f>C310/D310</f>
        <v>12.25</v>
      </c>
      <c r="K311" s="13">
        <f t="shared" si="8"/>
        <v>12</v>
      </c>
      <c r="L311" s="11"/>
      <c r="M311" s="11"/>
    </row>
    <row r="312" spans="1:13" s="1" customFormat="1" ht="30" customHeight="1" x14ac:dyDescent="0.25">
      <c r="A312" s="206"/>
      <c r="B312" s="193"/>
      <c r="C312" s="193"/>
      <c r="D312" s="179"/>
      <c r="E312" s="29" t="s">
        <v>467</v>
      </c>
      <c r="F312" s="19" t="s">
        <v>15</v>
      </c>
      <c r="G312" s="16" t="s">
        <v>16</v>
      </c>
      <c r="H312" s="15" t="s">
        <v>367</v>
      </c>
      <c r="I312" s="39">
        <v>45546</v>
      </c>
      <c r="J312" s="18">
        <f>C310/D310</f>
        <v>12.25</v>
      </c>
      <c r="K312" s="13">
        <f t="shared" si="8"/>
        <v>12</v>
      </c>
      <c r="L312" s="11"/>
      <c r="M312" s="23"/>
    </row>
    <row r="313" spans="1:13" s="1" customFormat="1" ht="30" customHeight="1" x14ac:dyDescent="0.25">
      <c r="A313" s="206"/>
      <c r="B313" s="193"/>
      <c r="C313" s="193"/>
      <c r="D313" s="180"/>
      <c r="E313" s="20" t="s">
        <v>468</v>
      </c>
      <c r="F313" s="19" t="s">
        <v>15</v>
      </c>
      <c r="G313" s="16" t="s">
        <v>16</v>
      </c>
      <c r="H313" s="15" t="s">
        <v>367</v>
      </c>
      <c r="I313" s="22">
        <v>45905</v>
      </c>
      <c r="J313" s="18">
        <f>C310/D310</f>
        <v>12.25</v>
      </c>
      <c r="K313" s="13">
        <f t="shared" si="8"/>
        <v>12</v>
      </c>
      <c r="L313" s="20"/>
      <c r="M313" s="123"/>
    </row>
    <row r="314" spans="1:13" s="1" customFormat="1" ht="30" customHeight="1" x14ac:dyDescent="0.25">
      <c r="A314" s="206">
        <v>125</v>
      </c>
      <c r="B314" s="193" t="s">
        <v>469</v>
      </c>
      <c r="C314" s="193">
        <v>336</v>
      </c>
      <c r="D314" s="178">
        <f>COUNTA(E314:E317)</f>
        <v>4</v>
      </c>
      <c r="E314" s="19" t="s">
        <v>470</v>
      </c>
      <c r="F314" s="19" t="s">
        <v>15</v>
      </c>
      <c r="G314" s="16" t="s">
        <v>16</v>
      </c>
      <c r="H314" s="19" t="s">
        <v>38</v>
      </c>
      <c r="I314" s="39">
        <v>45151</v>
      </c>
      <c r="J314" s="18">
        <f>C314/D314</f>
        <v>84</v>
      </c>
      <c r="K314" s="13">
        <f t="shared" si="8"/>
        <v>84</v>
      </c>
      <c r="L314" s="23"/>
      <c r="M314" s="23"/>
    </row>
    <row r="315" spans="1:13" s="1" customFormat="1" ht="30" customHeight="1" x14ac:dyDescent="0.25">
      <c r="A315" s="206"/>
      <c r="B315" s="193"/>
      <c r="C315" s="193"/>
      <c r="D315" s="179"/>
      <c r="E315" s="15" t="s">
        <v>471</v>
      </c>
      <c r="F315" s="19" t="s">
        <v>15</v>
      </c>
      <c r="G315" s="16" t="s">
        <v>16</v>
      </c>
      <c r="H315" s="19" t="s">
        <v>38</v>
      </c>
      <c r="I315" s="39">
        <v>45208</v>
      </c>
      <c r="J315" s="18">
        <f>C314/D314</f>
        <v>84</v>
      </c>
      <c r="K315" s="13">
        <f t="shared" si="8"/>
        <v>84</v>
      </c>
      <c r="L315" s="11"/>
      <c r="M315" s="11"/>
    </row>
    <row r="316" spans="1:13" s="1" customFormat="1" ht="30" customHeight="1" x14ac:dyDescent="0.25">
      <c r="A316" s="206"/>
      <c r="B316" s="193"/>
      <c r="C316" s="193"/>
      <c r="D316" s="179"/>
      <c r="E316" s="24" t="s">
        <v>472</v>
      </c>
      <c r="F316" s="19" t="s">
        <v>15</v>
      </c>
      <c r="G316" s="16" t="s">
        <v>16</v>
      </c>
      <c r="H316" s="19" t="s">
        <v>38</v>
      </c>
      <c r="I316" s="25">
        <v>45709</v>
      </c>
      <c r="J316" s="18">
        <f>C314/D314</f>
        <v>84</v>
      </c>
      <c r="K316" s="13">
        <f t="shared" si="8"/>
        <v>84</v>
      </c>
      <c r="L316" s="11"/>
      <c r="M316" s="11"/>
    </row>
    <row r="317" spans="1:13" s="1" customFormat="1" ht="30" customHeight="1" x14ac:dyDescent="0.25">
      <c r="A317" s="206"/>
      <c r="B317" s="193"/>
      <c r="C317" s="193"/>
      <c r="D317" s="180"/>
      <c r="E317" s="20" t="s">
        <v>473</v>
      </c>
      <c r="F317" s="47" t="s">
        <v>15</v>
      </c>
      <c r="G317" s="88" t="s">
        <v>16</v>
      </c>
      <c r="H317" s="47" t="s">
        <v>38</v>
      </c>
      <c r="I317" s="22">
        <v>46167</v>
      </c>
      <c r="J317" s="18">
        <f>C314/D314</f>
        <v>84</v>
      </c>
      <c r="K317" s="13">
        <f t="shared" si="8"/>
        <v>84</v>
      </c>
      <c r="L317" s="11"/>
      <c r="M317" s="11"/>
    </row>
    <row r="318" spans="1:13" s="1" customFormat="1" ht="30" customHeight="1" x14ac:dyDescent="0.25">
      <c r="A318" s="206">
        <v>126</v>
      </c>
      <c r="B318" s="193" t="s">
        <v>474</v>
      </c>
      <c r="C318" s="193">
        <v>490</v>
      </c>
      <c r="D318" s="178">
        <f>COUNTA(E318:E321)</f>
        <v>4</v>
      </c>
      <c r="E318" s="11" t="s">
        <v>475</v>
      </c>
      <c r="F318" s="15" t="s">
        <v>15</v>
      </c>
      <c r="G318" s="31" t="s">
        <v>16</v>
      </c>
      <c r="H318" s="15" t="s">
        <v>129</v>
      </c>
      <c r="I318" s="26">
        <v>45588</v>
      </c>
      <c r="J318" s="18">
        <f>C318/D318</f>
        <v>122.5</v>
      </c>
      <c r="K318" s="13">
        <f t="shared" si="8"/>
        <v>122</v>
      </c>
      <c r="L318" s="11"/>
      <c r="M318" s="11"/>
    </row>
    <row r="319" spans="1:13" s="1" customFormat="1" ht="30" customHeight="1" x14ac:dyDescent="0.25">
      <c r="A319" s="206"/>
      <c r="B319" s="193"/>
      <c r="C319" s="193"/>
      <c r="D319" s="179"/>
      <c r="E319" s="110" t="s">
        <v>476</v>
      </c>
      <c r="F319" s="15" t="s">
        <v>15</v>
      </c>
      <c r="G319" s="16" t="s">
        <v>16</v>
      </c>
      <c r="H319" s="15" t="s">
        <v>129</v>
      </c>
      <c r="I319" s="39">
        <v>45579</v>
      </c>
      <c r="J319" s="18">
        <f>C318/D318</f>
        <v>122.5</v>
      </c>
      <c r="K319" s="13">
        <f t="shared" si="8"/>
        <v>122</v>
      </c>
      <c r="L319" s="11"/>
      <c r="M319" s="11"/>
    </row>
    <row r="320" spans="1:13" s="1" customFormat="1" ht="30" customHeight="1" x14ac:dyDescent="0.25">
      <c r="A320" s="206"/>
      <c r="B320" s="193"/>
      <c r="C320" s="193"/>
      <c r="D320" s="179"/>
      <c r="E320" s="110" t="s">
        <v>477</v>
      </c>
      <c r="F320" s="15" t="s">
        <v>15</v>
      </c>
      <c r="G320" s="16" t="s">
        <v>16</v>
      </c>
      <c r="H320" s="15" t="s">
        <v>129</v>
      </c>
      <c r="I320" s="39">
        <v>45579</v>
      </c>
      <c r="J320" s="18">
        <f>C318/D318</f>
        <v>122.5</v>
      </c>
      <c r="K320" s="13">
        <f t="shared" si="8"/>
        <v>122</v>
      </c>
      <c r="L320" s="11"/>
      <c r="M320" s="11"/>
    </row>
    <row r="321" spans="1:13" s="1" customFormat="1" ht="30" customHeight="1" x14ac:dyDescent="0.25">
      <c r="A321" s="206"/>
      <c r="B321" s="193"/>
      <c r="C321" s="193"/>
      <c r="D321" s="180"/>
      <c r="E321" s="19" t="s">
        <v>478</v>
      </c>
      <c r="F321" s="19" t="s">
        <v>15</v>
      </c>
      <c r="G321" s="21" t="s">
        <v>16</v>
      </c>
      <c r="H321" s="21" t="s">
        <v>129</v>
      </c>
      <c r="I321" s="26">
        <v>45909</v>
      </c>
      <c r="J321" s="18">
        <f>C318/D318</f>
        <v>122.5</v>
      </c>
      <c r="K321" s="13">
        <f t="shared" si="8"/>
        <v>122</v>
      </c>
      <c r="L321" s="21"/>
      <c r="M321" s="11"/>
    </row>
    <row r="322" spans="1:13" s="1" customFormat="1" ht="30" customHeight="1" x14ac:dyDescent="0.25">
      <c r="A322" s="206">
        <v>127</v>
      </c>
      <c r="B322" s="193" t="s">
        <v>479</v>
      </c>
      <c r="C322" s="193">
        <v>501</v>
      </c>
      <c r="D322" s="178">
        <f>COUNTA(E322:E325)</f>
        <v>4</v>
      </c>
      <c r="E322" s="15" t="s">
        <v>480</v>
      </c>
      <c r="F322" s="15" t="s">
        <v>15</v>
      </c>
      <c r="G322" s="16" t="s">
        <v>16</v>
      </c>
      <c r="H322" s="15" t="s">
        <v>17</v>
      </c>
      <c r="I322" s="39">
        <v>45151</v>
      </c>
      <c r="J322" s="18">
        <f>C322/D322</f>
        <v>125.25</v>
      </c>
      <c r="K322" s="13">
        <f t="shared" si="8"/>
        <v>125</v>
      </c>
      <c r="L322" s="11"/>
      <c r="M322" s="11"/>
    </row>
    <row r="323" spans="1:13" s="1" customFormat="1" ht="30" customHeight="1" x14ac:dyDescent="0.25">
      <c r="A323" s="206"/>
      <c r="B323" s="193"/>
      <c r="C323" s="193"/>
      <c r="D323" s="179"/>
      <c r="E323" s="15" t="s">
        <v>481</v>
      </c>
      <c r="F323" s="15" t="s">
        <v>15</v>
      </c>
      <c r="G323" s="16" t="s">
        <v>16</v>
      </c>
      <c r="H323" s="15" t="s">
        <v>34</v>
      </c>
      <c r="I323" s="39">
        <v>45524</v>
      </c>
      <c r="J323" s="18">
        <f>C322/D322</f>
        <v>125.25</v>
      </c>
      <c r="K323" s="13">
        <f t="shared" si="8"/>
        <v>125</v>
      </c>
      <c r="L323" s="23"/>
      <c r="M323" s="11"/>
    </row>
    <row r="324" spans="1:13" s="1" customFormat="1" ht="30" customHeight="1" x14ac:dyDescent="0.25">
      <c r="A324" s="206"/>
      <c r="B324" s="193"/>
      <c r="C324" s="193"/>
      <c r="D324" s="179"/>
      <c r="E324" s="29" t="s">
        <v>482</v>
      </c>
      <c r="F324" s="61" t="s">
        <v>15</v>
      </c>
      <c r="G324" s="16" t="s">
        <v>16</v>
      </c>
      <c r="H324" s="15" t="s">
        <v>17</v>
      </c>
      <c r="I324" s="39">
        <v>45713</v>
      </c>
      <c r="J324" s="18">
        <f>C322/D322</f>
        <v>125.25</v>
      </c>
      <c r="K324" s="13">
        <f t="shared" si="8"/>
        <v>125</v>
      </c>
      <c r="L324" s="11"/>
      <c r="M324" s="11"/>
    </row>
    <row r="325" spans="1:13" s="1" customFormat="1" ht="30" customHeight="1" x14ac:dyDescent="0.25">
      <c r="A325" s="206"/>
      <c r="B325" s="193"/>
      <c r="C325" s="193"/>
      <c r="D325" s="180"/>
      <c r="E325" s="11" t="s">
        <v>483</v>
      </c>
      <c r="F325" s="15" t="s">
        <v>15</v>
      </c>
      <c r="G325" s="31" t="s">
        <v>16</v>
      </c>
      <c r="H325" s="15" t="s">
        <v>17</v>
      </c>
      <c r="I325" s="26">
        <v>45713</v>
      </c>
      <c r="J325" s="18">
        <f>C322/D322</f>
        <v>125.25</v>
      </c>
      <c r="K325" s="13">
        <f t="shared" si="8"/>
        <v>125</v>
      </c>
      <c r="L325" s="11"/>
      <c r="M325" s="11"/>
    </row>
    <row r="326" spans="1:13" s="1" customFormat="1" ht="30" customHeight="1" x14ac:dyDescent="0.25">
      <c r="A326" s="206">
        <v>128</v>
      </c>
      <c r="B326" s="193" t="s">
        <v>484</v>
      </c>
      <c r="C326" s="193">
        <v>345</v>
      </c>
      <c r="D326" s="178">
        <f>COUNTA(E326:E329)</f>
        <v>4</v>
      </c>
      <c r="E326" s="20" t="s">
        <v>485</v>
      </c>
      <c r="F326" s="15" t="s">
        <v>15</v>
      </c>
      <c r="G326" s="16" t="s">
        <v>16</v>
      </c>
      <c r="H326" s="15" t="s">
        <v>22</v>
      </c>
      <c r="I326" s="22">
        <v>45700</v>
      </c>
      <c r="J326" s="18">
        <f>C326/D326</f>
        <v>86.25</v>
      </c>
      <c r="K326" s="13">
        <f t="shared" si="8"/>
        <v>86</v>
      </c>
      <c r="L326" s="23"/>
      <c r="M326" s="11"/>
    </row>
    <row r="327" spans="1:13" s="1" customFormat="1" ht="30" customHeight="1" x14ac:dyDescent="0.25">
      <c r="A327" s="206"/>
      <c r="B327" s="193"/>
      <c r="C327" s="193"/>
      <c r="D327" s="179"/>
      <c r="E327" s="24" t="s">
        <v>486</v>
      </c>
      <c r="F327" s="15" t="s">
        <v>15</v>
      </c>
      <c r="G327" s="16" t="s">
        <v>16</v>
      </c>
      <c r="H327" s="15" t="s">
        <v>22</v>
      </c>
      <c r="I327" s="25">
        <v>46154</v>
      </c>
      <c r="J327" s="18">
        <f>C326/D326</f>
        <v>86.25</v>
      </c>
      <c r="K327" s="13">
        <f t="shared" si="8"/>
        <v>86</v>
      </c>
      <c r="L327" s="44"/>
      <c r="M327" s="112"/>
    </row>
    <row r="328" spans="1:13" s="1" customFormat="1" ht="30" customHeight="1" x14ac:dyDescent="0.25">
      <c r="A328" s="206"/>
      <c r="B328" s="193"/>
      <c r="C328" s="193"/>
      <c r="D328" s="179"/>
      <c r="E328" s="20" t="s">
        <v>487</v>
      </c>
      <c r="F328" s="15" t="s">
        <v>15</v>
      </c>
      <c r="G328" s="16" t="s">
        <v>16</v>
      </c>
      <c r="H328" s="15" t="s">
        <v>22</v>
      </c>
      <c r="I328" s="25">
        <v>46155</v>
      </c>
      <c r="J328" s="18">
        <f>C326/D326</f>
        <v>86.25</v>
      </c>
      <c r="K328" s="13">
        <f t="shared" si="8"/>
        <v>86</v>
      </c>
      <c r="L328" s="23"/>
      <c r="M328" s="23"/>
    </row>
    <row r="329" spans="1:13" s="1" customFormat="1" ht="30" customHeight="1" x14ac:dyDescent="0.25">
      <c r="A329" s="206"/>
      <c r="B329" s="193"/>
      <c r="C329" s="193"/>
      <c r="D329" s="180"/>
      <c r="E329" s="24" t="s">
        <v>488</v>
      </c>
      <c r="F329" s="15" t="s">
        <v>15</v>
      </c>
      <c r="G329" s="16" t="s">
        <v>16</v>
      </c>
      <c r="H329" s="15" t="s">
        <v>22</v>
      </c>
      <c r="I329" s="22">
        <v>45756</v>
      </c>
      <c r="J329" s="18">
        <f>C326/D326</f>
        <v>86.25</v>
      </c>
      <c r="K329" s="13">
        <f t="shared" si="8"/>
        <v>86</v>
      </c>
      <c r="L329" s="23"/>
      <c r="M329" s="11"/>
    </row>
    <row r="330" spans="1:13" s="1" customFormat="1" ht="30" customHeight="1" x14ac:dyDescent="0.25">
      <c r="A330" s="206">
        <v>129</v>
      </c>
      <c r="B330" s="193" t="s">
        <v>489</v>
      </c>
      <c r="C330" s="193">
        <v>95</v>
      </c>
      <c r="D330" s="178">
        <f>COUNTA(E330:E333)</f>
        <v>4</v>
      </c>
      <c r="E330" s="61" t="s">
        <v>490</v>
      </c>
      <c r="F330" s="15" t="s">
        <v>15</v>
      </c>
      <c r="G330" s="16" t="s">
        <v>16</v>
      </c>
      <c r="H330" s="15" t="s">
        <v>17</v>
      </c>
      <c r="I330" s="39">
        <v>45814</v>
      </c>
      <c r="J330" s="18">
        <v>29.8</v>
      </c>
      <c r="K330" s="13">
        <f t="shared" si="8"/>
        <v>29</v>
      </c>
      <c r="L330" s="11"/>
      <c r="M330" s="11"/>
    </row>
    <row r="331" spans="1:13" s="1" customFormat="1" ht="30" customHeight="1" x14ac:dyDescent="0.25">
      <c r="A331" s="206"/>
      <c r="B331" s="193"/>
      <c r="C331" s="193"/>
      <c r="D331" s="185"/>
      <c r="E331" s="33" t="s">
        <v>491</v>
      </c>
      <c r="F331" s="15" t="s">
        <v>15</v>
      </c>
      <c r="G331" s="16" t="s">
        <v>16</v>
      </c>
      <c r="H331" s="15" t="s">
        <v>17</v>
      </c>
      <c r="I331" s="39">
        <v>46196</v>
      </c>
      <c r="J331" s="18">
        <v>5.6</v>
      </c>
      <c r="K331" s="13">
        <f t="shared" ref="K331:K362" si="9">TRUNC(J331)</f>
        <v>5</v>
      </c>
      <c r="L331" s="11"/>
      <c r="M331" s="11" t="s">
        <v>492</v>
      </c>
    </row>
    <row r="332" spans="1:13" s="1" customFormat="1" ht="30" customHeight="1" x14ac:dyDescent="0.25">
      <c r="A332" s="206"/>
      <c r="B332" s="193"/>
      <c r="C332" s="193"/>
      <c r="D332" s="179"/>
      <c r="E332" s="40" t="s">
        <v>493</v>
      </c>
      <c r="F332" s="14" t="s">
        <v>15</v>
      </c>
      <c r="G332" s="59" t="s">
        <v>16</v>
      </c>
      <c r="H332" s="40" t="s">
        <v>17</v>
      </c>
      <c r="I332" s="94">
        <v>46088</v>
      </c>
      <c r="J332" s="18">
        <v>29.8</v>
      </c>
      <c r="K332" s="13">
        <f t="shared" si="9"/>
        <v>29</v>
      </c>
      <c r="L332" s="11"/>
      <c r="M332" s="11"/>
    </row>
    <row r="333" spans="1:13" s="1" customFormat="1" ht="30" customHeight="1" x14ac:dyDescent="0.25">
      <c r="A333" s="206"/>
      <c r="B333" s="193"/>
      <c r="C333" s="193"/>
      <c r="D333" s="180"/>
      <c r="E333" s="24" t="s">
        <v>494</v>
      </c>
      <c r="F333" s="14" t="s">
        <v>15</v>
      </c>
      <c r="G333" s="59" t="s">
        <v>16</v>
      </c>
      <c r="H333" s="40" t="s">
        <v>17</v>
      </c>
      <c r="I333" s="25">
        <v>46171</v>
      </c>
      <c r="J333" s="18">
        <v>29.8</v>
      </c>
      <c r="K333" s="13">
        <f t="shared" si="9"/>
        <v>29</v>
      </c>
      <c r="L333" s="112"/>
      <c r="M333" s="11"/>
    </row>
    <row r="334" spans="1:13" s="1" customFormat="1" ht="30" customHeight="1" x14ac:dyDescent="0.25">
      <c r="A334" s="206">
        <v>130</v>
      </c>
      <c r="B334" s="193" t="s">
        <v>495</v>
      </c>
      <c r="C334" s="193">
        <v>146</v>
      </c>
      <c r="D334" s="178">
        <f>COUNTA(E334:E337)</f>
        <v>4</v>
      </c>
      <c r="E334" s="19" t="s">
        <v>496</v>
      </c>
      <c r="F334" s="15" t="s">
        <v>15</v>
      </c>
      <c r="G334" s="16" t="s">
        <v>16</v>
      </c>
      <c r="H334" s="81" t="s">
        <v>17</v>
      </c>
      <c r="I334" s="39">
        <v>45151</v>
      </c>
      <c r="J334" s="18">
        <f>C334/D334</f>
        <v>36.5</v>
      </c>
      <c r="K334" s="13">
        <f t="shared" si="9"/>
        <v>36</v>
      </c>
      <c r="L334" s="124"/>
      <c r="M334" s="125"/>
    </row>
    <row r="335" spans="1:13" s="1" customFormat="1" ht="30" customHeight="1" x14ac:dyDescent="0.25">
      <c r="A335" s="206"/>
      <c r="B335" s="193"/>
      <c r="C335" s="193"/>
      <c r="D335" s="179"/>
      <c r="E335" s="31" t="s">
        <v>497</v>
      </c>
      <c r="F335" s="15" t="s">
        <v>15</v>
      </c>
      <c r="G335" s="31" t="s">
        <v>16</v>
      </c>
      <c r="H335" s="15" t="s">
        <v>17</v>
      </c>
      <c r="I335" s="39">
        <v>45151</v>
      </c>
      <c r="J335" s="18">
        <f>C334/D334</f>
        <v>36.5</v>
      </c>
      <c r="K335" s="13">
        <f t="shared" si="9"/>
        <v>36</v>
      </c>
      <c r="L335" s="124"/>
      <c r="M335" s="125"/>
    </row>
    <row r="336" spans="1:13" s="1" customFormat="1" ht="30" customHeight="1" x14ac:dyDescent="0.25">
      <c r="A336" s="206"/>
      <c r="B336" s="193"/>
      <c r="C336" s="193"/>
      <c r="D336" s="179"/>
      <c r="E336" s="126" t="s">
        <v>498</v>
      </c>
      <c r="F336" s="126" t="s">
        <v>15</v>
      </c>
      <c r="G336" s="126" t="s">
        <v>16</v>
      </c>
      <c r="H336" s="126" t="s">
        <v>17</v>
      </c>
      <c r="I336" s="25">
        <v>45824</v>
      </c>
      <c r="J336" s="18">
        <f>C334/D334</f>
        <v>36.5</v>
      </c>
      <c r="K336" s="13">
        <f t="shared" si="9"/>
        <v>36</v>
      </c>
      <c r="L336" s="124"/>
      <c r="M336" s="125"/>
    </row>
    <row r="337" spans="1:13" s="1" customFormat="1" ht="30" customHeight="1" x14ac:dyDescent="0.25">
      <c r="A337" s="206"/>
      <c r="B337" s="193"/>
      <c r="C337" s="193"/>
      <c r="D337" s="185"/>
      <c r="E337" s="113" t="s">
        <v>499</v>
      </c>
      <c r="F337" s="42" t="s">
        <v>15</v>
      </c>
      <c r="G337" s="41" t="s">
        <v>16</v>
      </c>
      <c r="H337" s="15" t="s">
        <v>129</v>
      </c>
      <c r="I337" s="26">
        <v>46174</v>
      </c>
      <c r="J337" s="18">
        <f>C334/D334</f>
        <v>36.5</v>
      </c>
      <c r="K337" s="13">
        <f t="shared" si="9"/>
        <v>36</v>
      </c>
      <c r="L337" s="112"/>
      <c r="M337" s="64"/>
    </row>
    <row r="338" spans="1:13" s="1" customFormat="1" ht="30" customHeight="1" x14ac:dyDescent="0.25">
      <c r="A338" s="206">
        <v>131</v>
      </c>
      <c r="B338" s="193" t="s">
        <v>500</v>
      </c>
      <c r="C338" s="193">
        <v>0</v>
      </c>
      <c r="D338" s="178">
        <f>COUNTA(E338:E341)</f>
        <v>4</v>
      </c>
      <c r="E338" s="37" t="s">
        <v>501</v>
      </c>
      <c r="F338" s="15" t="s">
        <v>15</v>
      </c>
      <c r="G338" s="31" t="s">
        <v>16</v>
      </c>
      <c r="H338" s="37" t="s">
        <v>34</v>
      </c>
      <c r="I338" s="120">
        <v>45151</v>
      </c>
      <c r="J338" s="18">
        <f>C338/D338</f>
        <v>0</v>
      </c>
      <c r="K338" s="13"/>
      <c r="L338" s="11"/>
      <c r="M338" s="11"/>
    </row>
    <row r="339" spans="1:13" s="1" customFormat="1" ht="30" customHeight="1" x14ac:dyDescent="0.25">
      <c r="A339" s="206"/>
      <c r="B339" s="193"/>
      <c r="C339" s="193"/>
      <c r="D339" s="179"/>
      <c r="E339" s="57" t="s">
        <v>502</v>
      </c>
      <c r="F339" s="19" t="s">
        <v>15</v>
      </c>
      <c r="G339" s="16" t="s">
        <v>16</v>
      </c>
      <c r="H339" s="19" t="s">
        <v>34</v>
      </c>
      <c r="I339" s="39">
        <v>45868</v>
      </c>
      <c r="J339" s="18">
        <f>C338/D338</f>
        <v>0</v>
      </c>
      <c r="K339" s="13"/>
      <c r="L339" s="11"/>
      <c r="M339" s="11"/>
    </row>
    <row r="340" spans="1:13" s="1" customFormat="1" ht="30" customHeight="1" x14ac:dyDescent="0.25">
      <c r="A340" s="206"/>
      <c r="B340" s="193"/>
      <c r="C340" s="193"/>
      <c r="D340" s="179"/>
      <c r="E340" s="15" t="s">
        <v>503</v>
      </c>
      <c r="F340" s="15" t="s">
        <v>15</v>
      </c>
      <c r="G340" s="31" t="s">
        <v>16</v>
      </c>
      <c r="H340" s="15" t="s">
        <v>34</v>
      </c>
      <c r="I340" s="39">
        <v>45151</v>
      </c>
      <c r="J340" s="18">
        <f>C338/D338</f>
        <v>0</v>
      </c>
      <c r="K340" s="13"/>
      <c r="L340" s="11"/>
      <c r="M340" s="11"/>
    </row>
    <row r="341" spans="1:13" s="1" customFormat="1" ht="30" customHeight="1" x14ac:dyDescent="0.25">
      <c r="A341" s="206"/>
      <c r="B341" s="193"/>
      <c r="C341" s="193"/>
      <c r="D341" s="180"/>
      <c r="E341" s="29" t="s">
        <v>504</v>
      </c>
      <c r="F341" s="19" t="s">
        <v>15</v>
      </c>
      <c r="G341" s="16" t="s">
        <v>16</v>
      </c>
      <c r="H341" s="19" t="s">
        <v>34</v>
      </c>
      <c r="I341" s="39">
        <v>45151</v>
      </c>
      <c r="J341" s="18">
        <f>C338/D338</f>
        <v>0</v>
      </c>
      <c r="K341" s="13"/>
      <c r="L341" s="88"/>
      <c r="M341" s="23"/>
    </row>
    <row r="342" spans="1:13" s="1" customFormat="1" ht="30" customHeight="1" x14ac:dyDescent="0.25">
      <c r="A342" s="206">
        <v>132</v>
      </c>
      <c r="B342" s="193" t="s">
        <v>505</v>
      </c>
      <c r="C342" s="193">
        <v>332</v>
      </c>
      <c r="D342" s="178">
        <f>COUNTA(E342:E345)</f>
        <v>4</v>
      </c>
      <c r="E342" s="19" t="s">
        <v>506</v>
      </c>
      <c r="F342" s="19" t="s">
        <v>15</v>
      </c>
      <c r="G342" s="16" t="s">
        <v>16</v>
      </c>
      <c r="H342" s="19" t="s">
        <v>34</v>
      </c>
      <c r="I342" s="39">
        <v>45429</v>
      </c>
      <c r="J342" s="18">
        <f>C342/D342</f>
        <v>83</v>
      </c>
      <c r="K342" s="13">
        <f t="shared" si="9"/>
        <v>83</v>
      </c>
      <c r="L342" s="20"/>
      <c r="M342" s="23"/>
    </row>
    <row r="343" spans="1:13" s="1" customFormat="1" ht="30" customHeight="1" x14ac:dyDescent="0.25">
      <c r="A343" s="206"/>
      <c r="B343" s="193"/>
      <c r="C343" s="193"/>
      <c r="D343" s="179"/>
      <c r="E343" s="81" t="s">
        <v>507</v>
      </c>
      <c r="F343" s="15" t="s">
        <v>15</v>
      </c>
      <c r="G343" s="16" t="s">
        <v>16</v>
      </c>
      <c r="H343" s="15" t="s">
        <v>34</v>
      </c>
      <c r="I343" s="39">
        <v>45151</v>
      </c>
      <c r="J343" s="18">
        <f>C342/D342</f>
        <v>83</v>
      </c>
      <c r="K343" s="13">
        <f t="shared" si="9"/>
        <v>83</v>
      </c>
      <c r="L343" s="11"/>
      <c r="M343" s="11"/>
    </row>
    <row r="344" spans="1:13" s="1" customFormat="1" ht="30" customHeight="1" x14ac:dyDescent="0.25">
      <c r="A344" s="206"/>
      <c r="B344" s="193"/>
      <c r="C344" s="193"/>
      <c r="D344" s="179"/>
      <c r="E344" s="127" t="s">
        <v>508</v>
      </c>
      <c r="F344" s="47" t="s">
        <v>15</v>
      </c>
      <c r="G344" s="88" t="s">
        <v>16</v>
      </c>
      <c r="H344" s="47" t="s">
        <v>38</v>
      </c>
      <c r="I344" s="128">
        <v>46153</v>
      </c>
      <c r="J344" s="18">
        <f>C342/D342</f>
        <v>83</v>
      </c>
      <c r="K344" s="13">
        <f t="shared" si="9"/>
        <v>83</v>
      </c>
      <c r="L344" s="23"/>
      <c r="M344" s="129"/>
    </row>
    <row r="345" spans="1:13" s="1" customFormat="1" ht="30" customHeight="1" x14ac:dyDescent="0.25">
      <c r="A345" s="206"/>
      <c r="B345" s="193"/>
      <c r="C345" s="193"/>
      <c r="D345" s="180"/>
      <c r="E345" s="20" t="s">
        <v>509</v>
      </c>
      <c r="F345" s="15" t="s">
        <v>15</v>
      </c>
      <c r="G345" s="16" t="s">
        <v>16</v>
      </c>
      <c r="H345" s="15" t="s">
        <v>367</v>
      </c>
      <c r="I345" s="22">
        <v>46128</v>
      </c>
      <c r="J345" s="18">
        <f>C342/D342</f>
        <v>83</v>
      </c>
      <c r="K345" s="13">
        <f t="shared" si="9"/>
        <v>83</v>
      </c>
      <c r="L345" s="23"/>
      <c r="M345" s="121"/>
    </row>
    <row r="346" spans="1:13" s="1" customFormat="1" ht="30" customHeight="1" x14ac:dyDescent="0.25">
      <c r="A346" s="206">
        <v>133</v>
      </c>
      <c r="B346" s="193" t="s">
        <v>510</v>
      </c>
      <c r="C346" s="193">
        <v>92</v>
      </c>
      <c r="D346" s="178">
        <f>COUNTA(E346:E349)</f>
        <v>4</v>
      </c>
      <c r="E346" s="15" t="s">
        <v>511</v>
      </c>
      <c r="F346" s="19" t="s">
        <v>15</v>
      </c>
      <c r="G346" s="16" t="s">
        <v>16</v>
      </c>
      <c r="H346" s="15" t="s">
        <v>34</v>
      </c>
      <c r="I346" s="39">
        <v>45151</v>
      </c>
      <c r="J346" s="18">
        <v>28.6</v>
      </c>
      <c r="K346" s="13">
        <f t="shared" si="9"/>
        <v>28</v>
      </c>
      <c r="L346" s="112"/>
      <c r="M346" s="11"/>
    </row>
    <row r="347" spans="1:13" s="1" customFormat="1" ht="30" customHeight="1" x14ac:dyDescent="0.25">
      <c r="A347" s="206"/>
      <c r="B347" s="193"/>
      <c r="C347" s="193"/>
      <c r="D347" s="179"/>
      <c r="E347" s="15" t="s">
        <v>512</v>
      </c>
      <c r="F347" s="15" t="s">
        <v>15</v>
      </c>
      <c r="G347" s="31" t="s">
        <v>16</v>
      </c>
      <c r="H347" s="15" t="s">
        <v>34</v>
      </c>
      <c r="I347" s="39">
        <v>45151</v>
      </c>
      <c r="J347" s="18">
        <v>28.6</v>
      </c>
      <c r="K347" s="13">
        <f t="shared" si="9"/>
        <v>28</v>
      </c>
      <c r="L347" s="11"/>
      <c r="M347" s="11"/>
    </row>
    <row r="348" spans="1:13" s="1" customFormat="1" ht="30" customHeight="1" x14ac:dyDescent="0.25">
      <c r="A348" s="206"/>
      <c r="B348" s="193"/>
      <c r="C348" s="193"/>
      <c r="D348" s="179"/>
      <c r="E348" s="130" t="s">
        <v>513</v>
      </c>
      <c r="F348" s="15" t="s">
        <v>15</v>
      </c>
      <c r="G348" s="31" t="s">
        <v>16</v>
      </c>
      <c r="H348" s="15" t="s">
        <v>34</v>
      </c>
      <c r="I348" s="39">
        <v>46195</v>
      </c>
      <c r="J348" s="18">
        <v>6.2</v>
      </c>
      <c r="K348" s="13">
        <f t="shared" si="9"/>
        <v>6</v>
      </c>
      <c r="L348" s="11"/>
      <c r="M348" s="11" t="s">
        <v>120</v>
      </c>
    </row>
    <row r="349" spans="1:13" s="1" customFormat="1" ht="30" customHeight="1" x14ac:dyDescent="0.25">
      <c r="A349" s="206"/>
      <c r="B349" s="193"/>
      <c r="C349" s="193"/>
      <c r="D349" s="180"/>
      <c r="E349" s="20" t="s">
        <v>514</v>
      </c>
      <c r="F349" s="15" t="s">
        <v>15</v>
      </c>
      <c r="G349" s="16" t="s">
        <v>16</v>
      </c>
      <c r="H349" s="15" t="s">
        <v>34</v>
      </c>
      <c r="I349" s="22">
        <v>46114</v>
      </c>
      <c r="J349" s="18">
        <v>28.6</v>
      </c>
      <c r="K349" s="13">
        <f t="shared" si="9"/>
        <v>28</v>
      </c>
      <c r="L349" s="23"/>
      <c r="M349" s="11"/>
    </row>
    <row r="350" spans="1:13" s="1" customFormat="1" ht="30" customHeight="1" x14ac:dyDescent="0.25">
      <c r="A350" s="206">
        <v>134</v>
      </c>
      <c r="B350" s="193" t="s">
        <v>515</v>
      </c>
      <c r="C350" s="193">
        <v>11</v>
      </c>
      <c r="D350" s="178">
        <f>COUNTA(E350:E353)</f>
        <v>4</v>
      </c>
      <c r="E350" s="37" t="s">
        <v>516</v>
      </c>
      <c r="F350" s="47" t="s">
        <v>15</v>
      </c>
      <c r="G350" s="88" t="s">
        <v>16</v>
      </c>
      <c r="H350" s="37" t="s">
        <v>517</v>
      </c>
      <c r="I350" s="120">
        <v>45151</v>
      </c>
      <c r="J350" s="18">
        <f>C350/D350</f>
        <v>2.75</v>
      </c>
      <c r="K350" s="13">
        <f t="shared" si="9"/>
        <v>2</v>
      </c>
      <c r="L350" s="45"/>
      <c r="M350" s="11"/>
    </row>
    <row r="351" spans="1:13" s="1" customFormat="1" ht="30" customHeight="1" x14ac:dyDescent="0.25">
      <c r="A351" s="206"/>
      <c r="B351" s="193"/>
      <c r="C351" s="193"/>
      <c r="D351" s="179"/>
      <c r="E351" s="19" t="s">
        <v>518</v>
      </c>
      <c r="F351" s="19" t="s">
        <v>15</v>
      </c>
      <c r="G351" s="16" t="s">
        <v>16</v>
      </c>
      <c r="H351" s="19" t="s">
        <v>367</v>
      </c>
      <c r="I351" s="39">
        <v>45418</v>
      </c>
      <c r="J351" s="18">
        <f>C350/D350</f>
        <v>2.75</v>
      </c>
      <c r="K351" s="13">
        <f t="shared" si="9"/>
        <v>2</v>
      </c>
      <c r="L351" s="26"/>
      <c r="M351" s="11"/>
    </row>
    <row r="352" spans="1:13" s="1" customFormat="1" ht="30" customHeight="1" x14ac:dyDescent="0.25">
      <c r="A352" s="206"/>
      <c r="B352" s="193"/>
      <c r="C352" s="193"/>
      <c r="D352" s="179"/>
      <c r="E352" s="19" t="s">
        <v>519</v>
      </c>
      <c r="F352" s="47" t="s">
        <v>15</v>
      </c>
      <c r="G352" s="88" t="s">
        <v>16</v>
      </c>
      <c r="H352" s="47" t="s">
        <v>129</v>
      </c>
      <c r="I352" s="39">
        <v>45561</v>
      </c>
      <c r="J352" s="18">
        <f>C350/D350</f>
        <v>2.75</v>
      </c>
      <c r="K352" s="13">
        <f t="shared" si="9"/>
        <v>2</v>
      </c>
      <c r="L352" s="11"/>
      <c r="M352" s="11"/>
    </row>
    <row r="353" spans="1:13" s="1" customFormat="1" ht="30" customHeight="1" x14ac:dyDescent="0.25">
      <c r="A353" s="206"/>
      <c r="B353" s="193"/>
      <c r="C353" s="193"/>
      <c r="D353" s="180"/>
      <c r="E353" s="20" t="s">
        <v>520</v>
      </c>
      <c r="F353" s="47" t="s">
        <v>15</v>
      </c>
      <c r="G353" s="88" t="s">
        <v>16</v>
      </c>
      <c r="H353" s="47" t="s">
        <v>129</v>
      </c>
      <c r="I353" s="22">
        <v>45757</v>
      </c>
      <c r="J353" s="18">
        <f>C350/D350</f>
        <v>2.75</v>
      </c>
      <c r="K353" s="13">
        <f t="shared" si="9"/>
        <v>2</v>
      </c>
      <c r="L353" s="11"/>
      <c r="M353" s="11"/>
    </row>
    <row r="354" spans="1:13" s="1" customFormat="1" ht="30" customHeight="1" x14ac:dyDescent="0.25">
      <c r="A354" s="206">
        <v>135</v>
      </c>
      <c r="B354" s="193" t="s">
        <v>521</v>
      </c>
      <c r="C354" s="193">
        <v>18</v>
      </c>
      <c r="D354" s="178">
        <f>COUNTA(E354:E357)</f>
        <v>4</v>
      </c>
      <c r="E354" s="15" t="s">
        <v>522</v>
      </c>
      <c r="F354" s="19" t="s">
        <v>15</v>
      </c>
      <c r="G354" s="16" t="s">
        <v>16</v>
      </c>
      <c r="H354" s="15" t="s">
        <v>34</v>
      </c>
      <c r="I354" s="39">
        <v>45151</v>
      </c>
      <c r="J354" s="18">
        <v>5</v>
      </c>
      <c r="K354" s="13">
        <f t="shared" si="9"/>
        <v>5</v>
      </c>
      <c r="L354" s="11"/>
      <c r="M354" s="11"/>
    </row>
    <row r="355" spans="1:13" s="1" customFormat="1" ht="30" customHeight="1" x14ac:dyDescent="0.25">
      <c r="A355" s="206"/>
      <c r="B355" s="193"/>
      <c r="C355" s="193"/>
      <c r="D355" s="179"/>
      <c r="E355" s="19" t="s">
        <v>523</v>
      </c>
      <c r="F355" s="19" t="s">
        <v>15</v>
      </c>
      <c r="G355" s="16" t="s">
        <v>16</v>
      </c>
      <c r="H355" s="15" t="s">
        <v>34</v>
      </c>
      <c r="I355" s="39">
        <v>45151</v>
      </c>
      <c r="J355" s="18">
        <v>5</v>
      </c>
      <c r="K355" s="13">
        <f t="shared" si="9"/>
        <v>5</v>
      </c>
      <c r="L355" s="11"/>
      <c r="M355" s="11"/>
    </row>
    <row r="356" spans="1:13" s="1" customFormat="1" ht="30" customHeight="1" x14ac:dyDescent="0.25">
      <c r="A356" s="206"/>
      <c r="B356" s="193"/>
      <c r="C356" s="193"/>
      <c r="D356" s="179"/>
      <c r="E356" s="15" t="s">
        <v>524</v>
      </c>
      <c r="F356" s="19" t="s">
        <v>15</v>
      </c>
      <c r="G356" s="16" t="s">
        <v>16</v>
      </c>
      <c r="H356" s="15" t="s">
        <v>34</v>
      </c>
      <c r="I356" s="39">
        <v>45151</v>
      </c>
      <c r="J356" s="18">
        <v>5</v>
      </c>
      <c r="K356" s="13">
        <f t="shared" si="9"/>
        <v>5</v>
      </c>
      <c r="L356" s="11"/>
      <c r="M356" s="11"/>
    </row>
    <row r="357" spans="1:13" s="1" customFormat="1" ht="30" customHeight="1" x14ac:dyDescent="0.25">
      <c r="A357" s="206"/>
      <c r="B357" s="193"/>
      <c r="C357" s="193"/>
      <c r="D357" s="185"/>
      <c r="E357" s="113" t="s">
        <v>525</v>
      </c>
      <c r="F357" s="19" t="s">
        <v>15</v>
      </c>
      <c r="G357" s="16" t="s">
        <v>16</v>
      </c>
      <c r="H357" s="15" t="s">
        <v>34</v>
      </c>
      <c r="I357" s="25">
        <v>46183</v>
      </c>
      <c r="J357" s="18">
        <v>3</v>
      </c>
      <c r="K357" s="13">
        <f t="shared" si="9"/>
        <v>3</v>
      </c>
      <c r="L357" s="11"/>
      <c r="M357" s="11" t="s">
        <v>526</v>
      </c>
    </row>
    <row r="358" spans="1:13" s="1" customFormat="1" ht="30" customHeight="1" x14ac:dyDescent="0.25">
      <c r="A358" s="206">
        <v>136</v>
      </c>
      <c r="B358" s="193" t="s">
        <v>527</v>
      </c>
      <c r="C358" s="193">
        <v>149</v>
      </c>
      <c r="D358" s="178">
        <f>COUNTA(E358:E361)</f>
        <v>3</v>
      </c>
      <c r="E358" s="15" t="s">
        <v>528</v>
      </c>
      <c r="F358" s="19" t="s">
        <v>15</v>
      </c>
      <c r="G358" s="16" t="s">
        <v>16</v>
      </c>
      <c r="H358" s="15" t="s">
        <v>34</v>
      </c>
      <c r="I358" s="39">
        <v>45151</v>
      </c>
      <c r="J358" s="18">
        <f>C358/D358</f>
        <v>49.666666666666664</v>
      </c>
      <c r="K358" s="13">
        <f t="shared" si="9"/>
        <v>49</v>
      </c>
      <c r="L358" s="23"/>
      <c r="M358" s="11"/>
    </row>
    <row r="359" spans="1:13" s="1" customFormat="1" ht="30" customHeight="1" x14ac:dyDescent="0.25">
      <c r="A359" s="206"/>
      <c r="B359" s="193"/>
      <c r="C359" s="193"/>
      <c r="D359" s="179"/>
      <c r="E359" s="15" t="s">
        <v>529</v>
      </c>
      <c r="F359" s="15" t="s">
        <v>15</v>
      </c>
      <c r="G359" s="16" t="s">
        <v>16</v>
      </c>
      <c r="H359" s="15" t="s">
        <v>34</v>
      </c>
      <c r="I359" s="39">
        <v>45151</v>
      </c>
      <c r="J359" s="18">
        <f>C358/D358</f>
        <v>49.666666666666664</v>
      </c>
      <c r="K359" s="13">
        <f t="shared" si="9"/>
        <v>49</v>
      </c>
      <c r="L359" s="11"/>
      <c r="M359" s="11"/>
    </row>
    <row r="360" spans="1:13" s="1" customFormat="1" ht="30" customHeight="1" x14ac:dyDescent="0.25">
      <c r="A360" s="206"/>
      <c r="B360" s="193"/>
      <c r="C360" s="193"/>
      <c r="D360" s="179"/>
      <c r="E360" s="112"/>
      <c r="F360" s="43"/>
      <c r="G360" s="44"/>
      <c r="H360" s="43"/>
      <c r="I360" s="45"/>
      <c r="J360" s="18"/>
      <c r="K360" s="13"/>
      <c r="L360" s="23"/>
      <c r="M360" s="11"/>
    </row>
    <row r="361" spans="1:13" s="1" customFormat="1" ht="30" customHeight="1" x14ac:dyDescent="0.25">
      <c r="A361" s="206"/>
      <c r="B361" s="193"/>
      <c r="C361" s="193"/>
      <c r="D361" s="180"/>
      <c r="E361" s="20" t="s">
        <v>530</v>
      </c>
      <c r="F361" s="15" t="s">
        <v>15</v>
      </c>
      <c r="G361" s="16" t="s">
        <v>16</v>
      </c>
      <c r="H361" s="15" t="s">
        <v>34</v>
      </c>
      <c r="I361" s="22">
        <v>46153</v>
      </c>
      <c r="J361" s="18">
        <f>C358/D358</f>
        <v>49.666666666666664</v>
      </c>
      <c r="K361" s="13">
        <f t="shared" si="9"/>
        <v>49</v>
      </c>
      <c r="L361" s="11"/>
      <c r="M361" s="11"/>
    </row>
    <row r="362" spans="1:13" s="1" customFormat="1" ht="30" customHeight="1" x14ac:dyDescent="0.25">
      <c r="A362" s="206">
        <v>137</v>
      </c>
      <c r="B362" s="193" t="s">
        <v>531</v>
      </c>
      <c r="C362" s="193">
        <v>189</v>
      </c>
      <c r="D362" s="178">
        <f>COUNTA(E362:E365)</f>
        <v>3</v>
      </c>
      <c r="E362" s="19" t="s">
        <v>532</v>
      </c>
      <c r="F362" s="19" t="s">
        <v>15</v>
      </c>
      <c r="G362" s="16" t="s">
        <v>16</v>
      </c>
      <c r="H362" s="15" t="s">
        <v>34</v>
      </c>
      <c r="I362" s="114">
        <v>45151</v>
      </c>
      <c r="J362" s="18">
        <f>C362/D362</f>
        <v>63</v>
      </c>
      <c r="K362" s="13">
        <f t="shared" si="9"/>
        <v>63</v>
      </c>
      <c r="L362" s="11"/>
      <c r="M362" s="11"/>
    </row>
    <row r="363" spans="1:13" s="1" customFormat="1" ht="30" customHeight="1" x14ac:dyDescent="0.25">
      <c r="A363" s="206"/>
      <c r="B363" s="193"/>
      <c r="C363" s="193"/>
      <c r="D363" s="179"/>
      <c r="E363" s="15" t="s">
        <v>533</v>
      </c>
      <c r="F363" s="19" t="s">
        <v>15</v>
      </c>
      <c r="G363" s="16" t="s">
        <v>16</v>
      </c>
      <c r="H363" s="81" t="s">
        <v>34</v>
      </c>
      <c r="I363" s="39">
        <v>45151</v>
      </c>
      <c r="J363" s="18">
        <f>C362/D362</f>
        <v>63</v>
      </c>
      <c r="K363" s="13">
        <f t="shared" ref="K363:K406" si="10">TRUNC(J363)</f>
        <v>63</v>
      </c>
      <c r="L363" s="23"/>
      <c r="M363" s="11"/>
    </row>
    <row r="364" spans="1:13" s="1" customFormat="1" ht="30" customHeight="1" x14ac:dyDescent="0.25">
      <c r="A364" s="206"/>
      <c r="B364" s="193"/>
      <c r="C364" s="193"/>
      <c r="D364" s="179"/>
      <c r="E364" s="28" t="s">
        <v>534</v>
      </c>
      <c r="F364" s="28" t="s">
        <v>15</v>
      </c>
      <c r="G364" s="21" t="s">
        <v>16</v>
      </c>
      <c r="H364" s="28" t="s">
        <v>34</v>
      </c>
      <c r="I364" s="26">
        <v>45722</v>
      </c>
      <c r="J364" s="18">
        <f>C362/D362</f>
        <v>63</v>
      </c>
      <c r="K364" s="13">
        <f t="shared" si="10"/>
        <v>63</v>
      </c>
      <c r="L364" s="11"/>
      <c r="M364" s="11"/>
    </row>
    <row r="365" spans="1:13" s="1" customFormat="1" ht="30" customHeight="1" x14ac:dyDescent="0.25">
      <c r="A365" s="206"/>
      <c r="B365" s="193"/>
      <c r="C365" s="193"/>
      <c r="D365" s="180"/>
      <c r="E365" s="111"/>
      <c r="F365" s="47"/>
      <c r="G365" s="88"/>
      <c r="H365" s="47"/>
      <c r="I365" s="120"/>
      <c r="J365" s="18"/>
      <c r="K365" s="13"/>
      <c r="L365" s="111"/>
      <c r="M365" s="11"/>
    </row>
    <row r="366" spans="1:13" s="1" customFormat="1" ht="30" customHeight="1" x14ac:dyDescent="0.25">
      <c r="A366" s="206">
        <v>138</v>
      </c>
      <c r="B366" s="193" t="s">
        <v>535</v>
      </c>
      <c r="C366" s="193">
        <v>0</v>
      </c>
      <c r="D366" s="178">
        <f>COUNTA(E366:E369)</f>
        <v>4</v>
      </c>
      <c r="E366" s="131" t="s">
        <v>536</v>
      </c>
      <c r="F366" s="19" t="s">
        <v>15</v>
      </c>
      <c r="G366" s="16" t="s">
        <v>16</v>
      </c>
      <c r="H366" s="81" t="s">
        <v>71</v>
      </c>
      <c r="I366" s="114">
        <v>45151</v>
      </c>
      <c r="J366" s="18">
        <f>C366/D366</f>
        <v>0</v>
      </c>
      <c r="K366" s="13"/>
      <c r="L366" s="11"/>
      <c r="M366" s="11"/>
    </row>
    <row r="367" spans="1:13" s="1" customFormat="1" ht="30" customHeight="1" x14ac:dyDescent="0.25">
      <c r="A367" s="206"/>
      <c r="B367" s="193"/>
      <c r="C367" s="193"/>
      <c r="D367" s="179"/>
      <c r="E367" s="15" t="s">
        <v>537</v>
      </c>
      <c r="F367" s="19" t="s">
        <v>15</v>
      </c>
      <c r="G367" s="16" t="s">
        <v>16</v>
      </c>
      <c r="H367" s="81" t="s">
        <v>71</v>
      </c>
      <c r="I367" s="114">
        <v>45151</v>
      </c>
      <c r="J367" s="18">
        <f>C366/D366</f>
        <v>0</v>
      </c>
      <c r="K367" s="13"/>
      <c r="L367" s="11"/>
      <c r="M367" s="11"/>
    </row>
    <row r="368" spans="1:13" s="1" customFormat="1" ht="30" customHeight="1" x14ac:dyDescent="0.25">
      <c r="A368" s="206"/>
      <c r="B368" s="193"/>
      <c r="C368" s="193"/>
      <c r="D368" s="179"/>
      <c r="E368" s="19" t="s">
        <v>538</v>
      </c>
      <c r="F368" s="19" t="s">
        <v>15</v>
      </c>
      <c r="G368" s="16" t="s">
        <v>16</v>
      </c>
      <c r="H368" s="19" t="s">
        <v>28</v>
      </c>
      <c r="I368" s="114">
        <v>45151</v>
      </c>
      <c r="J368" s="18">
        <f>C366/D366</f>
        <v>0</v>
      </c>
      <c r="K368" s="13"/>
      <c r="L368" s="11"/>
      <c r="M368" s="11"/>
    </row>
    <row r="369" spans="1:13" s="1" customFormat="1" ht="30" customHeight="1" x14ac:dyDescent="0.25">
      <c r="A369" s="206"/>
      <c r="B369" s="193"/>
      <c r="C369" s="193"/>
      <c r="D369" s="180"/>
      <c r="E369" s="132" t="s">
        <v>539</v>
      </c>
      <c r="F369" s="19" t="s">
        <v>15</v>
      </c>
      <c r="G369" s="16" t="s">
        <v>16</v>
      </c>
      <c r="H369" s="19" t="s">
        <v>161</v>
      </c>
      <c r="I369" s="66">
        <v>46204</v>
      </c>
      <c r="J369" s="18"/>
      <c r="K369" s="13"/>
      <c r="L369" s="11"/>
      <c r="M369" s="11"/>
    </row>
    <row r="370" spans="1:13" s="1" customFormat="1" ht="30" customHeight="1" x14ac:dyDescent="0.25">
      <c r="A370" s="206">
        <v>139</v>
      </c>
      <c r="B370" s="193" t="s">
        <v>540</v>
      </c>
      <c r="C370" s="193">
        <v>116</v>
      </c>
      <c r="D370" s="178">
        <f>COUNTA(E370:E373)</f>
        <v>3</v>
      </c>
      <c r="E370" s="15" t="s">
        <v>541</v>
      </c>
      <c r="F370" s="19" t="s">
        <v>15</v>
      </c>
      <c r="G370" s="16" t="s">
        <v>16</v>
      </c>
      <c r="H370" s="15" t="s">
        <v>542</v>
      </c>
      <c r="I370" s="39">
        <v>45151</v>
      </c>
      <c r="J370" s="18">
        <f>C370/D370</f>
        <v>38.666666666666664</v>
      </c>
      <c r="K370" s="13">
        <f t="shared" si="10"/>
        <v>38</v>
      </c>
      <c r="L370" s="11"/>
      <c r="M370" s="11"/>
    </row>
    <row r="371" spans="1:13" s="1" customFormat="1" ht="30" customHeight="1" x14ac:dyDescent="0.25">
      <c r="A371" s="206"/>
      <c r="B371" s="193"/>
      <c r="C371" s="193"/>
      <c r="D371" s="179"/>
      <c r="E371" s="15" t="s">
        <v>543</v>
      </c>
      <c r="F371" s="19" t="s">
        <v>15</v>
      </c>
      <c r="G371" s="16" t="s">
        <v>16</v>
      </c>
      <c r="H371" s="15" t="s">
        <v>542</v>
      </c>
      <c r="I371" s="39">
        <v>45151</v>
      </c>
      <c r="J371" s="18">
        <f>C370/D370</f>
        <v>38.666666666666664</v>
      </c>
      <c r="K371" s="13">
        <f t="shared" si="10"/>
        <v>38</v>
      </c>
      <c r="L371" s="11"/>
      <c r="M371" s="11"/>
    </row>
    <row r="372" spans="1:13" s="1" customFormat="1" ht="30" customHeight="1" x14ac:dyDescent="0.25">
      <c r="A372" s="206"/>
      <c r="B372" s="193"/>
      <c r="C372" s="193"/>
      <c r="D372" s="179"/>
      <c r="E372" s="20" t="s">
        <v>544</v>
      </c>
      <c r="F372" s="19" t="s">
        <v>15</v>
      </c>
      <c r="G372" s="16" t="s">
        <v>16</v>
      </c>
      <c r="H372" s="15" t="s">
        <v>542</v>
      </c>
      <c r="I372" s="22">
        <v>46169</v>
      </c>
      <c r="J372" s="18">
        <f>C370/D370</f>
        <v>38.666666666666664</v>
      </c>
      <c r="K372" s="13">
        <f t="shared" si="10"/>
        <v>38</v>
      </c>
      <c r="L372" s="11"/>
      <c r="M372" s="11"/>
    </row>
    <row r="373" spans="1:13" s="1" customFormat="1" ht="30" customHeight="1" x14ac:dyDescent="0.25">
      <c r="A373" s="206"/>
      <c r="B373" s="193"/>
      <c r="C373" s="193"/>
      <c r="D373" s="180"/>
      <c r="E373" s="111"/>
      <c r="F373" s="19"/>
      <c r="G373" s="16"/>
      <c r="H373" s="15"/>
      <c r="I373" s="39"/>
      <c r="J373" s="18"/>
      <c r="K373" s="13"/>
      <c r="L373" s="11"/>
      <c r="M373" s="11"/>
    </row>
    <row r="374" spans="1:13" s="1" customFormat="1" ht="30" customHeight="1" x14ac:dyDescent="0.25">
      <c r="A374" s="206">
        <v>140</v>
      </c>
      <c r="B374" s="193" t="s">
        <v>545</v>
      </c>
      <c r="C374" s="193">
        <v>321</v>
      </c>
      <c r="D374" s="178">
        <f>COUNTA(E374:E377)</f>
        <v>4</v>
      </c>
      <c r="E374" s="20" t="s">
        <v>546</v>
      </c>
      <c r="F374" s="15" t="s">
        <v>15</v>
      </c>
      <c r="G374" s="16" t="s">
        <v>16</v>
      </c>
      <c r="H374" s="15" t="s">
        <v>129</v>
      </c>
      <c r="I374" s="22">
        <v>46083</v>
      </c>
      <c r="J374" s="18">
        <f>C374/D374</f>
        <v>80.25</v>
      </c>
      <c r="K374" s="13">
        <f t="shared" si="10"/>
        <v>80</v>
      </c>
      <c r="L374" s="20"/>
      <c r="M374" s="11"/>
    </row>
    <row r="375" spans="1:13" s="1" customFormat="1" ht="30" customHeight="1" x14ac:dyDescent="0.25">
      <c r="A375" s="206"/>
      <c r="B375" s="193"/>
      <c r="C375" s="193"/>
      <c r="D375" s="179"/>
      <c r="E375" s="20" t="s">
        <v>547</v>
      </c>
      <c r="F375" s="15" t="s">
        <v>15</v>
      </c>
      <c r="G375" s="16" t="s">
        <v>16</v>
      </c>
      <c r="H375" s="15" t="s">
        <v>129</v>
      </c>
      <c r="I375" s="22">
        <v>46083</v>
      </c>
      <c r="J375" s="18">
        <f>C374/D374</f>
        <v>80.25</v>
      </c>
      <c r="K375" s="13">
        <f t="shared" si="10"/>
        <v>80</v>
      </c>
      <c r="L375" s="20"/>
      <c r="M375" s="11"/>
    </row>
    <row r="376" spans="1:13" s="1" customFormat="1" ht="30" customHeight="1" x14ac:dyDescent="0.25">
      <c r="A376" s="206"/>
      <c r="B376" s="193"/>
      <c r="C376" s="193"/>
      <c r="D376" s="179"/>
      <c r="E376" s="11" t="s">
        <v>548</v>
      </c>
      <c r="F376" s="19" t="s">
        <v>15</v>
      </c>
      <c r="G376" s="16" t="s">
        <v>16</v>
      </c>
      <c r="H376" s="19" t="s">
        <v>129</v>
      </c>
      <c r="I376" s="26">
        <v>46104</v>
      </c>
      <c r="J376" s="18">
        <f>C374/D374</f>
        <v>80.25</v>
      </c>
      <c r="K376" s="13">
        <f t="shared" si="10"/>
        <v>80</v>
      </c>
      <c r="L376" s="23"/>
      <c r="M376" s="11"/>
    </row>
    <row r="377" spans="1:13" s="1" customFormat="1" ht="30" customHeight="1" x14ac:dyDescent="0.25">
      <c r="A377" s="206"/>
      <c r="B377" s="193"/>
      <c r="C377" s="193"/>
      <c r="D377" s="180"/>
      <c r="E377" s="20" t="s">
        <v>549</v>
      </c>
      <c r="F377" s="19" t="s">
        <v>15</v>
      </c>
      <c r="G377" s="16" t="s">
        <v>16</v>
      </c>
      <c r="H377" s="19" t="s">
        <v>550</v>
      </c>
      <c r="I377" s="22">
        <v>46154</v>
      </c>
      <c r="J377" s="18">
        <f>C374/D374</f>
        <v>80.25</v>
      </c>
      <c r="K377" s="13">
        <f t="shared" si="10"/>
        <v>80</v>
      </c>
      <c r="L377" s="23"/>
      <c r="M377" s="23"/>
    </row>
    <row r="378" spans="1:13" s="1" customFormat="1" ht="30" customHeight="1" x14ac:dyDescent="0.25">
      <c r="A378" s="206">
        <v>141</v>
      </c>
      <c r="B378" s="193" t="s">
        <v>551</v>
      </c>
      <c r="C378" s="193">
        <v>326</v>
      </c>
      <c r="D378" s="178">
        <f>COUNTA(E378:E381)</f>
        <v>4</v>
      </c>
      <c r="E378" s="133" t="s">
        <v>552</v>
      </c>
      <c r="F378" s="15" t="s">
        <v>15</v>
      </c>
      <c r="G378" s="31" t="s">
        <v>16</v>
      </c>
      <c r="H378" s="15" t="s">
        <v>367</v>
      </c>
      <c r="I378" s="66">
        <v>45343</v>
      </c>
      <c r="J378" s="18">
        <f>C378/D378</f>
        <v>81.5</v>
      </c>
      <c r="K378" s="13">
        <f t="shared" si="10"/>
        <v>81</v>
      </c>
      <c r="L378" s="11"/>
      <c r="M378" s="11"/>
    </row>
    <row r="379" spans="1:13" s="1" customFormat="1" ht="30" customHeight="1" x14ac:dyDescent="0.25">
      <c r="A379" s="206"/>
      <c r="B379" s="193"/>
      <c r="C379" s="193"/>
      <c r="D379" s="179"/>
      <c r="E379" s="15" t="s">
        <v>553</v>
      </c>
      <c r="F379" s="19" t="s">
        <v>15</v>
      </c>
      <c r="G379" s="16" t="s">
        <v>16</v>
      </c>
      <c r="H379" s="19" t="s">
        <v>367</v>
      </c>
      <c r="I379" s="66">
        <v>45383</v>
      </c>
      <c r="J379" s="18">
        <f>C378/D378</f>
        <v>81.5</v>
      </c>
      <c r="K379" s="13">
        <f t="shared" si="10"/>
        <v>81</v>
      </c>
      <c r="L379" s="11"/>
      <c r="M379" s="11"/>
    </row>
    <row r="380" spans="1:13" s="1" customFormat="1" ht="30" customHeight="1" x14ac:dyDescent="0.25">
      <c r="A380" s="206"/>
      <c r="B380" s="193"/>
      <c r="C380" s="193"/>
      <c r="D380" s="179"/>
      <c r="E380" s="11" t="s">
        <v>554</v>
      </c>
      <c r="F380" s="19" t="s">
        <v>15</v>
      </c>
      <c r="G380" s="16" t="s">
        <v>16</v>
      </c>
      <c r="H380" s="19" t="s">
        <v>129</v>
      </c>
      <c r="I380" s="26">
        <v>45735</v>
      </c>
      <c r="J380" s="18">
        <f>C378/D378</f>
        <v>81.5</v>
      </c>
      <c r="K380" s="13">
        <f t="shared" si="10"/>
        <v>81</v>
      </c>
      <c r="L380" s="11"/>
      <c r="M380" s="11"/>
    </row>
    <row r="381" spans="1:13" s="1" customFormat="1" ht="30" customHeight="1" x14ac:dyDescent="0.25">
      <c r="A381" s="206"/>
      <c r="B381" s="193"/>
      <c r="C381" s="193"/>
      <c r="D381" s="180"/>
      <c r="E381" s="122" t="s">
        <v>555</v>
      </c>
      <c r="F381" s="15" t="s">
        <v>15</v>
      </c>
      <c r="G381" s="31" t="s">
        <v>16</v>
      </c>
      <c r="H381" s="15" t="s">
        <v>367</v>
      </c>
      <c r="I381" s="66">
        <v>45216</v>
      </c>
      <c r="J381" s="18">
        <f>C378/D378</f>
        <v>81.5</v>
      </c>
      <c r="K381" s="13">
        <f t="shared" si="10"/>
        <v>81</v>
      </c>
      <c r="L381" s="112"/>
      <c r="M381" s="112"/>
    </row>
    <row r="382" spans="1:13" s="1" customFormat="1" ht="30" customHeight="1" x14ac:dyDescent="0.25">
      <c r="A382" s="206">
        <v>142</v>
      </c>
      <c r="B382" s="193" t="s">
        <v>556</v>
      </c>
      <c r="C382" s="193">
        <v>459</v>
      </c>
      <c r="D382" s="178">
        <f>COUNTA(E382:E386)</f>
        <v>3</v>
      </c>
      <c r="E382" s="15" t="s">
        <v>557</v>
      </c>
      <c r="F382" s="15" t="s">
        <v>15</v>
      </c>
      <c r="G382" s="31" t="s">
        <v>16</v>
      </c>
      <c r="H382" s="15" t="s">
        <v>22</v>
      </c>
      <c r="I382" s="66">
        <v>45423</v>
      </c>
      <c r="J382" s="18">
        <v>209.1</v>
      </c>
      <c r="K382" s="13">
        <f t="shared" si="10"/>
        <v>209</v>
      </c>
      <c r="L382" s="11"/>
      <c r="M382" s="11"/>
    </row>
    <row r="383" spans="1:13" s="1" customFormat="1" ht="30" customHeight="1" x14ac:dyDescent="0.25">
      <c r="A383" s="206"/>
      <c r="B383" s="193"/>
      <c r="C383" s="193"/>
      <c r="D383" s="179"/>
      <c r="E383" s="61" t="s">
        <v>558</v>
      </c>
      <c r="F383" s="15" t="s">
        <v>15</v>
      </c>
      <c r="G383" s="31" t="s">
        <v>16</v>
      </c>
      <c r="H383" s="15" t="s">
        <v>22</v>
      </c>
      <c r="I383" s="66">
        <v>45216</v>
      </c>
      <c r="J383" s="18">
        <v>209.1</v>
      </c>
      <c r="K383" s="13">
        <f t="shared" si="10"/>
        <v>209</v>
      </c>
      <c r="L383" s="23"/>
      <c r="M383" s="11"/>
    </row>
    <row r="384" spans="1:13" s="1" customFormat="1" ht="30" customHeight="1" x14ac:dyDescent="0.25">
      <c r="A384" s="206"/>
      <c r="B384" s="193"/>
      <c r="C384" s="193"/>
      <c r="D384" s="185"/>
      <c r="E384" s="113" t="s">
        <v>559</v>
      </c>
      <c r="F384" s="15" t="s">
        <v>15</v>
      </c>
      <c r="G384" s="31" t="s">
        <v>16</v>
      </c>
      <c r="H384" s="15" t="s">
        <v>38</v>
      </c>
      <c r="I384" s="66">
        <v>46195</v>
      </c>
      <c r="J384" s="18">
        <v>40.799999999999997</v>
      </c>
      <c r="K384" s="13">
        <f t="shared" si="10"/>
        <v>40</v>
      </c>
      <c r="L384" s="11"/>
      <c r="M384" s="11" t="s">
        <v>326</v>
      </c>
    </row>
    <row r="385" spans="1:13" s="1" customFormat="1" ht="30" customHeight="1" x14ac:dyDescent="0.25">
      <c r="A385" s="206"/>
      <c r="B385" s="193"/>
      <c r="C385" s="193"/>
      <c r="D385" s="179"/>
      <c r="E385" s="112"/>
      <c r="F385" s="43"/>
      <c r="G385" s="44"/>
      <c r="H385" s="43"/>
      <c r="I385" s="46"/>
      <c r="J385" s="18"/>
      <c r="K385" s="13"/>
      <c r="L385" s="23"/>
      <c r="M385" s="11"/>
    </row>
    <row r="386" spans="1:13" s="1" customFormat="1" ht="30" customHeight="1" x14ac:dyDescent="0.25">
      <c r="A386" s="206"/>
      <c r="B386" s="193"/>
      <c r="C386" s="193"/>
      <c r="D386" s="180"/>
      <c r="E386" s="112"/>
      <c r="F386" s="43"/>
      <c r="G386" s="44"/>
      <c r="H386" s="43"/>
      <c r="I386" s="46"/>
      <c r="J386" s="18"/>
      <c r="K386" s="13"/>
      <c r="L386" s="23"/>
      <c r="M386" s="20"/>
    </row>
    <row r="387" spans="1:13" s="1" customFormat="1" ht="30" customHeight="1" x14ac:dyDescent="0.25">
      <c r="A387" s="206">
        <v>143</v>
      </c>
      <c r="B387" s="193" t="s">
        <v>560</v>
      </c>
      <c r="C387" s="193">
        <v>102</v>
      </c>
      <c r="D387" s="178">
        <v>3</v>
      </c>
      <c r="E387" s="112" t="s">
        <v>561</v>
      </c>
      <c r="F387" s="43" t="s">
        <v>15</v>
      </c>
      <c r="G387" s="44" t="s">
        <v>16</v>
      </c>
      <c r="H387" s="43" t="s">
        <v>22</v>
      </c>
      <c r="I387" s="45">
        <v>46106</v>
      </c>
      <c r="J387" s="18">
        <v>9</v>
      </c>
      <c r="K387" s="13">
        <f t="shared" si="10"/>
        <v>9</v>
      </c>
      <c r="L387" s="23"/>
      <c r="M387" s="11" t="s">
        <v>326</v>
      </c>
    </row>
    <row r="388" spans="1:13" s="1" customFormat="1" ht="30" customHeight="1" x14ac:dyDescent="0.25">
      <c r="A388" s="206"/>
      <c r="B388" s="193"/>
      <c r="C388" s="193"/>
      <c r="D388" s="179"/>
      <c r="E388" s="80" t="s">
        <v>562</v>
      </c>
      <c r="F388" s="15" t="s">
        <v>15</v>
      </c>
      <c r="G388" s="31" t="s">
        <v>16</v>
      </c>
      <c r="H388" s="15" t="s">
        <v>22</v>
      </c>
      <c r="I388" s="32">
        <v>46204</v>
      </c>
      <c r="J388" s="18"/>
      <c r="K388" s="13"/>
      <c r="L388" s="23"/>
      <c r="M388" s="23"/>
    </row>
    <row r="389" spans="1:13" s="1" customFormat="1" ht="30" customHeight="1" x14ac:dyDescent="0.25">
      <c r="A389" s="206"/>
      <c r="B389" s="193"/>
      <c r="C389" s="193"/>
      <c r="D389" s="179"/>
      <c r="E389" s="11" t="s">
        <v>563</v>
      </c>
      <c r="F389" s="19" t="s">
        <v>15</v>
      </c>
      <c r="G389" s="16" t="s">
        <v>16</v>
      </c>
      <c r="H389" s="19" t="s">
        <v>45</v>
      </c>
      <c r="I389" s="26">
        <v>45708</v>
      </c>
      <c r="J389" s="18">
        <v>84</v>
      </c>
      <c r="K389" s="13">
        <f t="shared" si="10"/>
        <v>84</v>
      </c>
      <c r="L389" s="11"/>
      <c r="M389" s="11"/>
    </row>
    <row r="390" spans="1:13" s="1" customFormat="1" ht="30" customHeight="1" x14ac:dyDescent="0.25">
      <c r="A390" s="206"/>
      <c r="B390" s="193"/>
      <c r="C390" s="193"/>
      <c r="D390" s="180"/>
      <c r="E390" s="23" t="s">
        <v>564</v>
      </c>
      <c r="F390" s="15" t="s">
        <v>15</v>
      </c>
      <c r="G390" s="31" t="s">
        <v>16</v>
      </c>
      <c r="H390" s="15" t="s">
        <v>22</v>
      </c>
      <c r="I390" s="22">
        <v>46106</v>
      </c>
      <c r="J390" s="18">
        <v>9</v>
      </c>
      <c r="K390" s="13">
        <f t="shared" si="10"/>
        <v>9</v>
      </c>
      <c r="L390" s="11"/>
      <c r="M390" s="11" t="s">
        <v>326</v>
      </c>
    </row>
    <row r="391" spans="1:13" s="1" customFormat="1" ht="30" customHeight="1" x14ac:dyDescent="0.25">
      <c r="A391" s="206">
        <v>144</v>
      </c>
      <c r="B391" s="193" t="s">
        <v>565</v>
      </c>
      <c r="C391" s="193">
        <v>461</v>
      </c>
      <c r="D391" s="178">
        <f>COUNTA(E391:E394)</f>
        <v>4</v>
      </c>
      <c r="E391" s="118" t="s">
        <v>566</v>
      </c>
      <c r="F391" s="37" t="s">
        <v>15</v>
      </c>
      <c r="G391" s="71" t="s">
        <v>16</v>
      </c>
      <c r="H391" s="37" t="s">
        <v>367</v>
      </c>
      <c r="I391" s="72">
        <v>45342</v>
      </c>
      <c r="J391" s="18">
        <v>147.19999999999999</v>
      </c>
      <c r="K391" s="13">
        <f t="shared" si="10"/>
        <v>147</v>
      </c>
      <c r="L391" s="112"/>
      <c r="M391" s="11"/>
    </row>
    <row r="392" spans="1:13" s="1" customFormat="1" ht="30" customHeight="1" x14ac:dyDescent="0.25">
      <c r="A392" s="206"/>
      <c r="B392" s="193"/>
      <c r="C392" s="193"/>
      <c r="D392" s="179"/>
      <c r="E392" s="11" t="s">
        <v>567</v>
      </c>
      <c r="F392" s="28" t="s">
        <v>15</v>
      </c>
      <c r="G392" s="21" t="s">
        <v>16</v>
      </c>
      <c r="H392" s="28" t="s">
        <v>129</v>
      </c>
      <c r="I392" s="22">
        <v>45744</v>
      </c>
      <c r="J392" s="18">
        <v>147.19999999999999</v>
      </c>
      <c r="K392" s="13">
        <f t="shared" si="10"/>
        <v>147</v>
      </c>
      <c r="L392" s="58"/>
      <c r="M392" s="129"/>
    </row>
    <row r="393" spans="1:13" s="1" customFormat="1" ht="30" customHeight="1" x14ac:dyDescent="0.25">
      <c r="A393" s="206"/>
      <c r="B393" s="193"/>
      <c r="C393" s="193"/>
      <c r="D393" s="185"/>
      <c r="E393" s="48" t="s">
        <v>568</v>
      </c>
      <c r="F393" s="28" t="s">
        <v>15</v>
      </c>
      <c r="G393" s="21" t="s">
        <v>16</v>
      </c>
      <c r="H393" s="28" t="s">
        <v>129</v>
      </c>
      <c r="I393" s="39">
        <v>46198</v>
      </c>
      <c r="J393" s="18">
        <v>19.399999999999999</v>
      </c>
      <c r="K393" s="13">
        <f t="shared" si="10"/>
        <v>19</v>
      </c>
      <c r="L393" s="23"/>
      <c r="M393" s="11" t="s">
        <v>569</v>
      </c>
    </row>
    <row r="394" spans="1:13" s="1" customFormat="1" ht="30" customHeight="1" x14ac:dyDescent="0.25">
      <c r="A394" s="206"/>
      <c r="B394" s="193"/>
      <c r="C394" s="193"/>
      <c r="D394" s="180"/>
      <c r="E394" s="29" t="s">
        <v>570</v>
      </c>
      <c r="F394" s="15" t="s">
        <v>15</v>
      </c>
      <c r="G394" s="31" t="s">
        <v>16</v>
      </c>
      <c r="H394" s="15" t="s">
        <v>17</v>
      </c>
      <c r="I394" s="39">
        <v>45941</v>
      </c>
      <c r="J394" s="18">
        <v>147.19999999999999</v>
      </c>
      <c r="K394" s="13">
        <f t="shared" si="10"/>
        <v>147</v>
      </c>
      <c r="L394" s="23"/>
      <c r="M394" s="11"/>
    </row>
    <row r="395" spans="1:13" s="1" customFormat="1" ht="30" customHeight="1" x14ac:dyDescent="0.25">
      <c r="A395" s="206">
        <v>145</v>
      </c>
      <c r="B395" s="193" t="s">
        <v>571</v>
      </c>
      <c r="C395" s="193">
        <v>268</v>
      </c>
      <c r="D395" s="178">
        <f>COUNTA(E395:E398)</f>
        <v>4</v>
      </c>
      <c r="E395" s="11" t="s">
        <v>572</v>
      </c>
      <c r="F395" s="28" t="s">
        <v>15</v>
      </c>
      <c r="G395" s="21" t="s">
        <v>16</v>
      </c>
      <c r="H395" s="28" t="s">
        <v>129</v>
      </c>
      <c r="I395" s="26">
        <v>45745</v>
      </c>
      <c r="J395" s="18">
        <f>C395/D395</f>
        <v>67</v>
      </c>
      <c r="K395" s="13">
        <f t="shared" si="10"/>
        <v>67</v>
      </c>
      <c r="L395" s="11"/>
      <c r="M395" s="11"/>
    </row>
    <row r="396" spans="1:13" s="1" customFormat="1" ht="30" customHeight="1" x14ac:dyDescent="0.25">
      <c r="A396" s="206"/>
      <c r="B396" s="193"/>
      <c r="C396" s="193"/>
      <c r="D396" s="179"/>
      <c r="E396" s="61" t="s">
        <v>573</v>
      </c>
      <c r="F396" s="15" t="s">
        <v>15</v>
      </c>
      <c r="G396" s="31" t="s">
        <v>16</v>
      </c>
      <c r="H396" s="15" t="s">
        <v>129</v>
      </c>
      <c r="I396" s="39">
        <v>45478</v>
      </c>
      <c r="J396" s="18">
        <f>C395/D395</f>
        <v>67</v>
      </c>
      <c r="K396" s="13">
        <f t="shared" si="10"/>
        <v>67</v>
      </c>
      <c r="L396" s="23"/>
      <c r="M396" s="11"/>
    </row>
    <row r="397" spans="1:13" s="1" customFormat="1" ht="30" customHeight="1" x14ac:dyDescent="0.25">
      <c r="A397" s="206"/>
      <c r="B397" s="193"/>
      <c r="C397" s="193"/>
      <c r="D397" s="179"/>
      <c r="E397" s="20" t="s">
        <v>574</v>
      </c>
      <c r="F397" s="19" t="s">
        <v>15</v>
      </c>
      <c r="G397" s="16" t="s">
        <v>16</v>
      </c>
      <c r="H397" s="19" t="s">
        <v>17</v>
      </c>
      <c r="I397" s="22">
        <v>46086</v>
      </c>
      <c r="J397" s="18">
        <f>C395/D395</f>
        <v>67</v>
      </c>
      <c r="K397" s="13">
        <f t="shared" si="10"/>
        <v>67</v>
      </c>
      <c r="L397" s="11"/>
      <c r="M397" s="11"/>
    </row>
    <row r="398" spans="1:13" s="1" customFormat="1" ht="30" customHeight="1" x14ac:dyDescent="0.25">
      <c r="A398" s="206"/>
      <c r="B398" s="193"/>
      <c r="C398" s="193"/>
      <c r="D398" s="180"/>
      <c r="E398" s="11" t="s">
        <v>575</v>
      </c>
      <c r="F398" s="15" t="s">
        <v>15</v>
      </c>
      <c r="G398" s="16" t="s">
        <v>16</v>
      </c>
      <c r="H398" s="15" t="s">
        <v>129</v>
      </c>
      <c r="I398" s="26">
        <v>45908</v>
      </c>
      <c r="J398" s="18">
        <f>C395/D395</f>
        <v>67</v>
      </c>
      <c r="K398" s="13">
        <f t="shared" si="10"/>
        <v>67</v>
      </c>
      <c r="L398" s="23"/>
      <c r="M398" s="11"/>
    </row>
    <row r="399" spans="1:13" s="1" customFormat="1" ht="30" customHeight="1" x14ac:dyDescent="0.25">
      <c r="A399" s="206">
        <v>146</v>
      </c>
      <c r="B399" s="193" t="s">
        <v>576</v>
      </c>
      <c r="C399" s="193">
        <v>312</v>
      </c>
      <c r="D399" s="178">
        <f>COUNTA(E399:E402)</f>
        <v>3</v>
      </c>
      <c r="E399" s="61" t="s">
        <v>577</v>
      </c>
      <c r="F399" s="15" t="s">
        <v>15</v>
      </c>
      <c r="G399" s="31" t="s">
        <v>16</v>
      </c>
      <c r="H399" s="15" t="s">
        <v>129</v>
      </c>
      <c r="I399" s="39">
        <v>45530</v>
      </c>
      <c r="J399" s="18">
        <f>C399/D399</f>
        <v>104</v>
      </c>
      <c r="K399" s="13">
        <f t="shared" si="10"/>
        <v>104</v>
      </c>
      <c r="L399" s="11"/>
      <c r="M399" s="11"/>
    </row>
    <row r="400" spans="1:13" s="1" customFormat="1" ht="30" customHeight="1" x14ac:dyDescent="0.25">
      <c r="A400" s="206"/>
      <c r="B400" s="193"/>
      <c r="C400" s="193"/>
      <c r="D400" s="179"/>
      <c r="E400" s="11" t="s">
        <v>578</v>
      </c>
      <c r="F400" s="15" t="s">
        <v>15</v>
      </c>
      <c r="G400" s="16" t="s">
        <v>16</v>
      </c>
      <c r="H400" s="15" t="s">
        <v>129</v>
      </c>
      <c r="I400" s="26">
        <v>45589</v>
      </c>
      <c r="J400" s="18">
        <f>C399/D399</f>
        <v>104</v>
      </c>
      <c r="K400" s="13">
        <f t="shared" si="10"/>
        <v>104</v>
      </c>
      <c r="L400" s="23"/>
      <c r="M400" s="11"/>
    </row>
    <row r="401" spans="1:13" s="1" customFormat="1" ht="30" customHeight="1" x14ac:dyDescent="0.25">
      <c r="A401" s="206"/>
      <c r="B401" s="193"/>
      <c r="C401" s="193"/>
      <c r="D401" s="179"/>
      <c r="E401" s="29" t="s">
        <v>579</v>
      </c>
      <c r="F401" s="19" t="s">
        <v>15</v>
      </c>
      <c r="G401" s="16" t="s">
        <v>16</v>
      </c>
      <c r="H401" s="19" t="s">
        <v>129</v>
      </c>
      <c r="I401" s="39">
        <v>45939</v>
      </c>
      <c r="J401" s="18">
        <f>C399/D399</f>
        <v>104</v>
      </c>
      <c r="K401" s="13">
        <f t="shared" si="10"/>
        <v>104</v>
      </c>
      <c r="L401" s="29"/>
      <c r="M401" s="11"/>
    </row>
    <row r="402" spans="1:13" s="1" customFormat="1" ht="30" customHeight="1" x14ac:dyDescent="0.25">
      <c r="A402" s="206"/>
      <c r="B402" s="193"/>
      <c r="C402" s="193"/>
      <c r="D402" s="180"/>
      <c r="E402" s="20"/>
      <c r="F402" s="19"/>
      <c r="G402" s="16"/>
      <c r="H402" s="19"/>
      <c r="I402" s="22"/>
      <c r="J402" s="18"/>
      <c r="K402" s="13"/>
      <c r="L402" s="23"/>
      <c r="M402" s="11"/>
    </row>
    <row r="403" spans="1:13" s="1" customFormat="1" ht="30" customHeight="1" x14ac:dyDescent="0.25">
      <c r="A403" s="206">
        <v>147</v>
      </c>
      <c r="B403" s="193" t="s">
        <v>580</v>
      </c>
      <c r="C403" s="193">
        <v>570</v>
      </c>
      <c r="D403" s="178">
        <f>COUNTA(E403:E406)</f>
        <v>4</v>
      </c>
      <c r="E403" s="20" t="s">
        <v>581</v>
      </c>
      <c r="F403" s="19" t="s">
        <v>15</v>
      </c>
      <c r="G403" s="16" t="s">
        <v>16</v>
      </c>
      <c r="H403" s="19" t="s">
        <v>367</v>
      </c>
      <c r="I403" s="22">
        <v>46087</v>
      </c>
      <c r="J403" s="18">
        <f>C403/D403</f>
        <v>142.5</v>
      </c>
      <c r="K403" s="13">
        <f t="shared" si="10"/>
        <v>142</v>
      </c>
      <c r="L403" s="23"/>
      <c r="M403" s="11"/>
    </row>
    <row r="404" spans="1:13" s="1" customFormat="1" ht="30" customHeight="1" x14ac:dyDescent="0.25">
      <c r="A404" s="206"/>
      <c r="B404" s="193"/>
      <c r="C404" s="193"/>
      <c r="D404" s="179"/>
      <c r="E404" s="134" t="s">
        <v>582</v>
      </c>
      <c r="F404" s="67" t="s">
        <v>15</v>
      </c>
      <c r="G404" s="16" t="s">
        <v>16</v>
      </c>
      <c r="H404" s="67" t="s">
        <v>367</v>
      </c>
      <c r="I404" s="26">
        <v>45411</v>
      </c>
      <c r="J404" s="18">
        <f>C403/D403</f>
        <v>142.5</v>
      </c>
      <c r="K404" s="13">
        <f t="shared" si="10"/>
        <v>142</v>
      </c>
      <c r="L404" s="11"/>
      <c r="M404" s="11"/>
    </row>
    <row r="405" spans="1:13" s="1" customFormat="1" ht="30" customHeight="1" x14ac:dyDescent="0.25">
      <c r="A405" s="206"/>
      <c r="B405" s="193"/>
      <c r="C405" s="193"/>
      <c r="D405" s="179"/>
      <c r="E405" s="135" t="s">
        <v>583</v>
      </c>
      <c r="F405" s="67" t="s">
        <v>15</v>
      </c>
      <c r="G405" s="16" t="s">
        <v>16</v>
      </c>
      <c r="H405" s="67" t="s">
        <v>367</v>
      </c>
      <c r="I405" s="26">
        <v>45411</v>
      </c>
      <c r="J405" s="18">
        <f>C403/D403</f>
        <v>142.5</v>
      </c>
      <c r="K405" s="13">
        <f t="shared" si="10"/>
        <v>142</v>
      </c>
      <c r="L405" s="11"/>
      <c r="M405" s="11"/>
    </row>
    <row r="406" spans="1:13" s="1" customFormat="1" ht="30" customHeight="1" x14ac:dyDescent="0.25">
      <c r="A406" s="206"/>
      <c r="B406" s="193"/>
      <c r="C406" s="193"/>
      <c r="D406" s="180"/>
      <c r="E406" s="135" t="s">
        <v>584</v>
      </c>
      <c r="F406" s="68" t="s">
        <v>15</v>
      </c>
      <c r="G406" s="16" t="s">
        <v>16</v>
      </c>
      <c r="H406" s="68" t="s">
        <v>367</v>
      </c>
      <c r="I406" s="26">
        <v>45702</v>
      </c>
      <c r="J406" s="18">
        <f>C403/D403</f>
        <v>142.5</v>
      </c>
      <c r="K406" s="13">
        <f t="shared" si="10"/>
        <v>142</v>
      </c>
      <c r="L406" s="11"/>
      <c r="M406" s="23"/>
    </row>
  </sheetData>
  <autoFilter ref="B2:M406" xr:uid="{00000000-0009-0000-0000-000000000000}"/>
  <mergeCells count="555">
    <mergeCell ref="A1:M1"/>
    <mergeCell ref="A3:A4"/>
    <mergeCell ref="A5:A6"/>
    <mergeCell ref="A7:A8"/>
    <mergeCell ref="A9:A10"/>
    <mergeCell ref="A11:A12"/>
    <mergeCell ref="A13:A14"/>
    <mergeCell ref="A15:A16"/>
    <mergeCell ref="A17:A18"/>
    <mergeCell ref="C3:C4"/>
    <mergeCell ref="C5:C6"/>
    <mergeCell ref="C7:C8"/>
    <mergeCell ref="C9:C10"/>
    <mergeCell ref="C11:C12"/>
    <mergeCell ref="C13:C14"/>
    <mergeCell ref="C15:C16"/>
    <mergeCell ref="C17:C18"/>
    <mergeCell ref="A19:A20"/>
    <mergeCell ref="A21:A22"/>
    <mergeCell ref="A23:A24"/>
    <mergeCell ref="A25:A26"/>
    <mergeCell ref="A27:A28"/>
    <mergeCell ref="A31:A32"/>
    <mergeCell ref="A35:A36"/>
    <mergeCell ref="A37:A40"/>
    <mergeCell ref="A41:A44"/>
    <mergeCell ref="A45:A48"/>
    <mergeCell ref="A49:A50"/>
    <mergeCell ref="A51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1:A84"/>
    <mergeCell ref="A85:A88"/>
    <mergeCell ref="A89:A92"/>
    <mergeCell ref="A93:A96"/>
    <mergeCell ref="A97:A100"/>
    <mergeCell ref="A101:A104"/>
    <mergeCell ref="A105:A108"/>
    <mergeCell ref="A109:A112"/>
    <mergeCell ref="A113:A116"/>
    <mergeCell ref="A117:A120"/>
    <mergeCell ref="A121:A124"/>
    <mergeCell ref="A125:A128"/>
    <mergeCell ref="A129:A132"/>
    <mergeCell ref="A133:A136"/>
    <mergeCell ref="A137:A140"/>
    <mergeCell ref="A141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41"/>
    <mergeCell ref="A242:A245"/>
    <mergeCell ref="A246:A249"/>
    <mergeCell ref="A250:A253"/>
    <mergeCell ref="A254:A257"/>
    <mergeCell ref="A258:A261"/>
    <mergeCell ref="A262:A265"/>
    <mergeCell ref="A266:A269"/>
    <mergeCell ref="A270:A273"/>
    <mergeCell ref="A274:A277"/>
    <mergeCell ref="A278:A281"/>
    <mergeCell ref="A282:A285"/>
    <mergeCell ref="A286:A289"/>
    <mergeCell ref="A290:A293"/>
    <mergeCell ref="A294:A297"/>
    <mergeCell ref="A298:A301"/>
    <mergeCell ref="A302:A305"/>
    <mergeCell ref="A306:A309"/>
    <mergeCell ref="A310:A313"/>
    <mergeCell ref="A314:A317"/>
    <mergeCell ref="A318:A321"/>
    <mergeCell ref="A322:A325"/>
    <mergeCell ref="A326:A329"/>
    <mergeCell ref="A330:A333"/>
    <mergeCell ref="A334:A337"/>
    <mergeCell ref="A338:A341"/>
    <mergeCell ref="A342:A345"/>
    <mergeCell ref="A346:A349"/>
    <mergeCell ref="A350:A353"/>
    <mergeCell ref="A354:A357"/>
    <mergeCell ref="A358:A361"/>
    <mergeCell ref="A362:A365"/>
    <mergeCell ref="A366:A369"/>
    <mergeCell ref="A370:A373"/>
    <mergeCell ref="A374:A377"/>
    <mergeCell ref="A378:A381"/>
    <mergeCell ref="A382:A386"/>
    <mergeCell ref="A387:A390"/>
    <mergeCell ref="A391:A394"/>
    <mergeCell ref="A395:A398"/>
    <mergeCell ref="A399:A402"/>
    <mergeCell ref="A403:A406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5:B36"/>
    <mergeCell ref="B37:B40"/>
    <mergeCell ref="B41:B44"/>
    <mergeCell ref="B45:B48"/>
    <mergeCell ref="B49:B50"/>
    <mergeCell ref="B51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80"/>
    <mergeCell ref="B81:B84"/>
    <mergeCell ref="B85:B88"/>
    <mergeCell ref="B89:B92"/>
    <mergeCell ref="B93:B96"/>
    <mergeCell ref="B97:B100"/>
    <mergeCell ref="B101:B104"/>
    <mergeCell ref="B105:B108"/>
    <mergeCell ref="B109:B112"/>
    <mergeCell ref="B113:B116"/>
    <mergeCell ref="B117:B120"/>
    <mergeCell ref="B121:B124"/>
    <mergeCell ref="B125:B128"/>
    <mergeCell ref="B129:B132"/>
    <mergeCell ref="B133:B136"/>
    <mergeCell ref="B137:B140"/>
    <mergeCell ref="B141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6"/>
    <mergeCell ref="B387:B390"/>
    <mergeCell ref="B391:B394"/>
    <mergeCell ref="B395:B398"/>
    <mergeCell ref="B399:B402"/>
    <mergeCell ref="B403:B406"/>
    <mergeCell ref="C19:C20"/>
    <mergeCell ref="C21:C22"/>
    <mergeCell ref="C23:C24"/>
    <mergeCell ref="C25:C26"/>
    <mergeCell ref="C27:C28"/>
    <mergeCell ref="C29:C30"/>
    <mergeCell ref="C31:C32"/>
    <mergeCell ref="C35:C36"/>
    <mergeCell ref="C37:C40"/>
    <mergeCell ref="C41:C44"/>
    <mergeCell ref="C45:C48"/>
    <mergeCell ref="C49:C50"/>
    <mergeCell ref="C51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80"/>
    <mergeCell ref="C81:C84"/>
    <mergeCell ref="C85:C88"/>
    <mergeCell ref="C89:C92"/>
    <mergeCell ref="C93:C96"/>
    <mergeCell ref="C97:C100"/>
    <mergeCell ref="C101:C104"/>
    <mergeCell ref="C105:C108"/>
    <mergeCell ref="C109:C112"/>
    <mergeCell ref="C113:C116"/>
    <mergeCell ref="C117:C120"/>
    <mergeCell ref="C121:C124"/>
    <mergeCell ref="C125:C128"/>
    <mergeCell ref="C129:C132"/>
    <mergeCell ref="C133:C136"/>
    <mergeCell ref="C137:C140"/>
    <mergeCell ref="C141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2:C223"/>
    <mergeCell ref="C224:C225"/>
    <mergeCell ref="C226:C227"/>
    <mergeCell ref="C228:C229"/>
    <mergeCell ref="C230:C231"/>
    <mergeCell ref="C232:C233"/>
    <mergeCell ref="C234:C235"/>
    <mergeCell ref="C236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6"/>
    <mergeCell ref="C387:C390"/>
    <mergeCell ref="C391:C394"/>
    <mergeCell ref="C395:C398"/>
    <mergeCell ref="C399:C402"/>
    <mergeCell ref="C403:C406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5:D36"/>
    <mergeCell ref="D37:D40"/>
    <mergeCell ref="D41:D44"/>
    <mergeCell ref="D45:D48"/>
    <mergeCell ref="D49:D50"/>
    <mergeCell ref="D51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80"/>
    <mergeCell ref="D81:D84"/>
    <mergeCell ref="D85:D88"/>
    <mergeCell ref="D89:D92"/>
    <mergeCell ref="D93:D96"/>
    <mergeCell ref="D97:D100"/>
    <mergeCell ref="D101:D104"/>
    <mergeCell ref="D105:D108"/>
    <mergeCell ref="D109:D112"/>
    <mergeCell ref="D113:D116"/>
    <mergeCell ref="D117:D120"/>
    <mergeCell ref="D121:D124"/>
    <mergeCell ref="D125:D128"/>
    <mergeCell ref="D129:D132"/>
    <mergeCell ref="D133:D136"/>
    <mergeCell ref="D137:D140"/>
    <mergeCell ref="D141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41"/>
    <mergeCell ref="D242:D245"/>
    <mergeCell ref="D246:D249"/>
    <mergeCell ref="D250:D253"/>
    <mergeCell ref="D254:D257"/>
    <mergeCell ref="D302:D305"/>
    <mergeCell ref="D306:D309"/>
    <mergeCell ref="D310:D313"/>
    <mergeCell ref="D314:D317"/>
    <mergeCell ref="D318:D321"/>
    <mergeCell ref="D322:D325"/>
    <mergeCell ref="D326:D329"/>
    <mergeCell ref="D258:D261"/>
    <mergeCell ref="D262:D265"/>
    <mergeCell ref="D266:D269"/>
    <mergeCell ref="D270:D273"/>
    <mergeCell ref="D274:D277"/>
    <mergeCell ref="D278:D281"/>
    <mergeCell ref="D282:D285"/>
    <mergeCell ref="D286:D289"/>
    <mergeCell ref="D290:D293"/>
    <mergeCell ref="D403:D406"/>
    <mergeCell ref="M58:M59"/>
    <mergeCell ref="M66:M67"/>
    <mergeCell ref="M68:M69"/>
    <mergeCell ref="D366:D369"/>
    <mergeCell ref="D370:D373"/>
    <mergeCell ref="D374:D377"/>
    <mergeCell ref="D378:D381"/>
    <mergeCell ref="D382:D386"/>
    <mergeCell ref="D387:D390"/>
    <mergeCell ref="D391:D394"/>
    <mergeCell ref="D395:D398"/>
    <mergeCell ref="D399:D402"/>
    <mergeCell ref="D330:D333"/>
    <mergeCell ref="D334:D337"/>
    <mergeCell ref="D338:D341"/>
    <mergeCell ref="D342:D345"/>
    <mergeCell ref="D346:D349"/>
    <mergeCell ref="D350:D353"/>
    <mergeCell ref="D354:D357"/>
    <mergeCell ref="D358:D361"/>
    <mergeCell ref="D362:D365"/>
    <mergeCell ref="D294:D297"/>
    <mergeCell ref="D298:D301"/>
  </mergeCells>
  <phoneticPr fontId="19" type="noConversion"/>
  <conditionalFormatting sqref="E1:E2 E11:E16 E19:E29 E33:E36 E40 E43:E44 E51 E54 E56:E57 E65:E75 E79 E81:E86 E88 E90 E92:E93 E95:E99 E101:E103 E105:E117 E120:E128 E132 E141:E142 E145:E146 E149 E151:E157 E160:E165 E168 E170 E173:E177 E179:E180 E183 E185:E189 E191:E197 E199:E202 E206:E207 E210:E212 E214 E216:E221 E224:E225 E227:E230 E233:E234 E236:E237 E250 E253 E279:E280 E284 E286:E288 E290 E294:E297 E299:E300 E306:E311 E322 E325 E366:E368 E373 E404:E1048576">
    <cfRule type="duplicateValues" dxfId="611" priority="468"/>
  </conditionalFormatting>
  <conditionalFormatting sqref="E1:E2 E11:E16 E19:E29 E33:E36 E40 E43:E44 E51 E54 E56:E57 E65:E75 E79 E81:E86 E88 E90 E92:E93 E95:E99 E101:E103 E105:E117 E120:E128 E132 E141:E142 E145:E146 E149 E151:E157 E160:E165 E168 E170 E173:E180 E183:E189 E191:E197 E199:E202 E206:E207 E210:E212 E214 E216:E221 E224:E225 E227:E230 E233:E234 E236:E237 E250 E253 E279:E280 E284 E286:E288 E290 E294:E297 E299:E300 E306:E311 E322 E325 E366:E368 E373 E404:E1048576">
    <cfRule type="duplicateValues" dxfId="610" priority="464"/>
  </conditionalFormatting>
  <conditionalFormatting sqref="E1:E2 E11:E16 E19:E29 E33:E36 E40 E43:E44 E51 E54 E56:E57 E65:E75 E79 E81:E86 E88 E90 E92:E93 E95:E99 E101:E103 E105:E117 E120:E128 E132 E141:E142 E145:E146 E149 E151:E157 E160:E165 E168 E170 E173:E180 E183:E189 E191:E197 E199:E203 E206:E208 E210:E212 E214 E216:E221 E224:E225 E227:E230 E233:E234 E236:E237 E250 E253 E279:E280 E284 E286:E288 E290 E294:E297 E299:E300 E306:E311 E322 E325 E366:E368 E373 E404:E1048576">
    <cfRule type="duplicateValues" dxfId="609" priority="461"/>
  </conditionalFormatting>
  <conditionalFormatting sqref="E1:E4 E7:E8 E11:E16 E19:E29 E33:E36 E38:E40 E43:E44 E51 E54 E56:E59 E63 E65:E75 E79 E81:E88 E90:E93 E95:E99 E101:E118 E120:E130 E132 E136:E137 E139 E141:E142 E145:E146 E149 E151:E165 E168:E170 E173:E180 E183:E189 E191:E197 E199:E203 E205:E208 E210:E214 E216:E222 E224:E230 E233:E234 E236:E237 E242:E245 E250 E252:E253 E279:E280 E283:E288 E290:E291 E294:E297 E299:E300 E306:E313 E318:E320 E322:E325 E365:E368 E373 E385 E395:E396 E399:E400 E404:E1048576">
    <cfRule type="duplicateValues" dxfId="608" priority="373"/>
  </conditionalFormatting>
  <conditionalFormatting sqref="E1:E4 E7:E8 E11:E16 E19:E29 E33:E36 E38:E40 E43:E44 E51 E54 E56:E59 E63 E65:E75 E79 E81:E88 E90:E93 E95:E118 E120:E130 E132 E136:E137 E139 E141:E142 E145:E146 E149 E151:E165 E168:E170 E173:E180 E183:E189 E191:E197 E199:E203 E205:E208 E210:E214 E216:E222 E224:E230 E233:E234 E236:E237 E242:E245 E250 E252:E253 E279:E280 E283:E288 E290:E291 E294:E297 E299:E300 E306:E313 E318:E320 E322:E325 E365:E368 E373 E385 E395:E396 E399:E400 E404:E1048576">
    <cfRule type="duplicateValues" dxfId="607" priority="372"/>
  </conditionalFormatting>
  <conditionalFormatting sqref="E1:E4 E7:E8 E11:E16 E19:E29 E33:E36 E38:E40 E43:E44 E51 E54 E56:E59 E63 E65:E75 E79 E81:E88 E90:E93 E95:E118 E120:E130 E132 E136:E139 E141:E142 E145:E149 E151:E165 E168:E170 E172:E180 E183:E208 E210:E214 E216:E222 E224:E230 E232:E234 E236:E237 E242:E245 E250:E253 E279:E280 E283:E288 E290:E291 E294:E297 E299:E300 E306:E313 E318:E320 E322:E325 E365:E368 E373 E385 E395:E396 E399:E400 E404:E1048576">
    <cfRule type="duplicateValues" dxfId="606" priority="360"/>
  </conditionalFormatting>
  <conditionalFormatting sqref="E1:E4 E7:E8 E11:E16 E19:E29 E33:E36 E38:E40 E43:E44 E51 E54 E56:E59 E63 E65:E75 E79 E81:E88 E90:E93 E95:E118 E120:E130 E132 E136:E139 E141:E142 E145:E149 E151:E165 E168:E170 E173:E180 E183:E189 E191:E197 E199:E203 E205:E208 E210:E214 E216:E222 E224:E230 E233:E234 E236:E237 E242:E245 E250 E252:E253 E279:E280 E283:E288 E290:E291 E294:E297 E299:E300 E306:E313 E318:E320 E322:E325 E365:E368 E373 E385 E395:E396 E399:E400 E404:E1048576">
    <cfRule type="duplicateValues" dxfId="605" priority="369"/>
  </conditionalFormatting>
  <conditionalFormatting sqref="E1:E4 E7:E8 E11:E16 E19:E29 E33:E36 E38:E40 E43:E44 E51 E54 E56:E59 E63 E65:E75 E79 E81:E88 E90:E118 E120:E130 E132 E136:E139 E141:E142 E145:E149 E151:E165 E168:E170 E172:E180 E183:E208 E210:E214 E216:E222 E224:E230 E232:E234 E236:E237 E242:E245 E250:E253 E279:E280 E283:E288 E290:E291 E294:E297 E299:E300 E306:E313 E318:E320 E322:E325 E365:E368 E373 E385 E395:E396 E399:E400 E404:E1048576">
    <cfRule type="duplicateValues" dxfId="604" priority="356"/>
  </conditionalFormatting>
  <conditionalFormatting sqref="E1:E4 E7:E8 E11:E16 E19:E29 E33:E36 E38:E40 E43:E44 E51 E54 E56:E59 E65:E75 E79 E81:E86 E88 E90 E92:E93 E95:E99 E101:E103 E105:E118 E120:E130 E132 E137 E139 E141:E142 E145:E146 E149 E151:E157 E160:E165 E168 E170 E173:E180 E183:E189 E191:E197 E199:E203 E206:E208 E210:E212 E214 E216:E222 E224:E230 E233:E234 E236:E237 E242:E245 E250 E252:E253 E279:E280 E284:E288 E290 E294:E297 E299:E300 E306:E313 E318:E320 E322:E325 E365:E368 E373 E385 E400 E404:E1048576">
    <cfRule type="duplicateValues" dxfId="603" priority="399"/>
  </conditionalFormatting>
  <conditionalFormatting sqref="E1:E4 E7:E8 E11:E16 E19:E29 E33:E36 E38:E40 E43:E44 E51 E54 E56:E59 E65:E75 E79 E81:E86 E88 E90:E93 E95:E99 E101:E118 E120:E130 E132 E137 E139 E141:E142 E145:E146 E149 E151:E157 E159:E165 E168 E170 E173:E180 E183:E189 E191:E197 E199:E203 E206:E208 E210:E214 E216:E222 E224:E230 E233:E234 E236:E237 E242:E245 E250 E252:E253 E279:E280 E283:E288 E290 E294:E297 E299:E300 E306:E313 E318:E320 E322:E325 E365:E368 E373 E385 E400 E404:E1048576">
    <cfRule type="duplicateValues" dxfId="602" priority="393"/>
  </conditionalFormatting>
  <conditionalFormatting sqref="E1:E4 E7:E8 E11:E16 E19:E29 E33:E36 E38:E40 E43:E44 E51 E54 E56:E59 E65:E75 E79 E81:E86 E88 E90:E93 E95:E99 E101:E118 E120:E130 E132 E137 E139 E141:E142 E145:E146 E149 E151:E157 E159:E165 E168 E170 E173:E180 E183:E189 E191:E197 E199:E203 E206:E208 E210:E214 E216:E222 E224:E230 E233:E234 E236:E237 E242:E245 E250 E252:E253 E279:E280 E283:E288 E290:E291 E294:E297 E299:E300 E306:E313 E318:E320 E322:E325 E365:E368 E373 E385 E400 E404:E1048576">
    <cfRule type="duplicateValues" dxfId="601" priority="391"/>
  </conditionalFormatting>
  <conditionalFormatting sqref="E1:E4 E7:E8 E11:E16 E19:E29 E33:E36 E38:E40 E43:E44 E51 E54 E56:E59 E65:E75 E79 E81:E88 E90:E93 E95:E99 E101:E118 E120:E130 E132 E136:E137 E139 E141:E142 E145:E146 E149 E151:E157 E159:E165 E168 E170 E173:E180 E183:E189 E191:E197 E199:E203 E205:E208 E210:E214 E216:E222 E224:E230 E233:E234 E236:E237 E242:E245 E250 E252:E253 E279:E280 E283:E288 E290:E291 E294:E297 E299:E300 E306:E313 E318:E320 E322:E325 E365:E368 E373 E385 E400 E404:E1048576">
    <cfRule type="duplicateValues" dxfId="600" priority="386"/>
  </conditionalFormatting>
  <conditionalFormatting sqref="E1:E4 E7:E8 E11:E16 E19:E29 E33:E36 E39:E40 E43:E44 E51 E54 E56:E57 E65:E75 E79 E81:E86 E88 E90 E92:E93 E95:E99 E101:E103 E105:E118 E120:E130 E132 E137 E139 E141:E142 E145:E146 E149 E151:E157 E160:E165 E168 E170 E173:E180 E183:E189 E191:E197 E199:E203 E206:E208 E210:E212 E214 E216:E222 E224:E230 E233:E234 E236:E237 E242:E245 E250 E252:E253 E279:E280 E284:E288 E290 E294:E297 E299:E300 E306:E313 E318:E320 E322:E323 E325 E365:E368 E373 E385 E400 E404:E1048576">
    <cfRule type="duplicateValues" dxfId="599" priority="411"/>
  </conditionalFormatting>
  <conditionalFormatting sqref="E1:E4 E7:E8 E11:E16 E19:E29 E33:E36 E39:E40 E43:E44 E51 E54 E56:E57 E65:E75 E79 E81:E86 E88 E90 E92:E93 E95:E99 E101:E103 E105:E118 E120:E130 E132 E137 E139 E141:E142 E145:E146 E149 E151:E157 E160:E165 E168 E170 E173:E180 E183:E189 E191:E197 E199:E203 E206:E208 E210:E212 E214 E216:E222 E224:E230 E233:E234 E236:E237 E242:E245 E250 E253 E279:E280 E284 E286:E288 E290 E294:E297 E299:E300 E306:E311 E322:E323 E325 E365:E368 E373 E385 E400 E404:E1048576">
    <cfRule type="duplicateValues" dxfId="598" priority="422"/>
  </conditionalFormatting>
  <conditionalFormatting sqref="E1:E4 E7:E8 E11:E16 E19:E29 E33:E36 E39:E40 E43:E44 E51 E54 E56:E59 E65:E75 E79 E81:E86 E88 E90 E92:E93 E95:E99 E101:E103 E105:E118 E120:E130 E132 E137 E139 E141:E142 E145:E146 E149 E151:E157 E160:E165 E168 E170 E173:E180 E183:E189 E191:E197 E199:E203 E206:E208 E210:E212 E214 E216:E222 E224:E230 E233:E234 E236:E237 E242:E245 E250 E252:E253 E279:E280 E284:E288 E290 E294:E297 E299:E300 E306:E313 E318:E320 E322:E325 E365:E368 E373 E385 E400 E404:E1048576">
    <cfRule type="duplicateValues" dxfId="597" priority="400"/>
  </conditionalFormatting>
  <conditionalFormatting sqref="E1:E8 E11:E16 E19:E29 E31:E36 E38:E40 E43:E44 E51 E54 E56:E59 E63 E65:E75 E78:E79 E81:E88 E90:E118 E120:E130 E132 E136:E139 E141:E142 E145:E149 E151:E165 E167:E170 E172:E180 E182:E208 E210:E237 E242:E245 E250:E253 E278:E280 E283:E288 E290:E291 E293:E297 E299:E300 E306:E313 E318:E325 E365:E368 E373 E385:E386 E395:E396 E399:E401 E403:E1048576">
    <cfRule type="duplicateValues" dxfId="596" priority="313"/>
  </conditionalFormatting>
  <conditionalFormatting sqref="E1:E8 E11:E16 E19:E29 E31:E36 E38:E40 E43:E44 E51 E54 E56:E59 E63 E65:E75 E78:E79 E81:E88 E90:E118 E120:E132 E136:E139 E141:E142 E145:E149 E151:E165 E167:E170 E172:E180 E182:E208 E210:E237 E242:E245 E250:E253 E273 E277:E297 E299:E300 E306:E313 E318:E325 E365:E368 E373 E385:E386 E395:E396 E399:E401 E403:E1048576">
    <cfRule type="duplicateValues" dxfId="595" priority="301"/>
  </conditionalFormatting>
  <conditionalFormatting sqref="E1:E8 E11:E16 E19:E29 E31:E36 E38:E40 E43:E44 E51 E54 E56:E59 E63 E65:E75 E78:E79 E81:E88 E90:E118 E120:E132 E136:E139 E141:E142 E145:E149 E151:E165 E167:E170 E172:E180 E182:E208 E210:E237 E242:E245 E250:E253 E273 E277:E297 E299:E300 E306:E313 E318:E325 E365:E368 E373 E385:E386 E395:E1048576">
    <cfRule type="duplicateValues" dxfId="594" priority="298"/>
  </conditionalFormatting>
  <conditionalFormatting sqref="E1:E8 E11:E16 E19:E29 E31:E36 E38:E40 E43:E44 E51 E54 E56:E59 E63 E65:E75 E78:E79 E81:E88 E90:E118 E120:E132 E136:E139 E141:E142 E145:E149 E151:E165 E167:E170 E172:E180 E182:E208 E210:E237 E242:E245 E250:E253 E278:E280 E283:E288 E290:E291 E293:E297 E299:E300 E306:E313 E318:E325 E365:E368 E373 E385:E386 E395:E396 E399:E401 E403:E1048576">
    <cfRule type="duplicateValues" dxfId="593" priority="311"/>
  </conditionalFormatting>
  <conditionalFormatting sqref="E1:E8 E11:E16 E19:E29 E31:E36 E38:E40 E43:E44 E51 E54 E56:E59 E63 E65:E75 E79 E81:E88 E90:E118 E120:E130 E132 E136:E139 E141:E142 E145:E149 E151:E165 E167:E170 E172:E180 E182:E208 E210:E230 E232:E237 E242:E245 E250:E253 E278:E280 E283:E288 E290:E291 E293:E297 E299:E300 E306:E313 E318:E325 E365:E368 E373 E385:E386 E395:E396 E399:E401 E403:E1048576">
    <cfRule type="duplicateValues" dxfId="592" priority="317"/>
  </conditionalFormatting>
  <conditionalFormatting sqref="E1:E8 E11:E16 E19:E29 E31:E36 E38:E40 E43:E44 E51 E54 E56:E59 E63 E65:E75 E79 E81:E88 E90:E118 E120:E130 E132 E136:E139 E141:E142 E145:E149 E151:E165 E167:E170 E172:E180 E182:E208 E210:E237 E242:E245 E250:E253 E278:E280 E283:E288 E290:E291 E293:E297 E299:E300 E306:E313 E318:E325 E365:E368 E373 E385:E386 E395:E396 E399:E401 E403:E1048576">
    <cfRule type="duplicateValues" dxfId="591" priority="315"/>
  </conditionalFormatting>
  <conditionalFormatting sqref="E1:E8 E11:E16 E19:E29 E31:E36 E38:E40 E43:E44 E51 E54 E56:E59 E63 E65:E75 E79 E81:E88 E90:E118 E120:E130 E132 E136:E139 E141:E142 E145:E149 E151:E165 E168:E170 E172:E180 E182:E208 E210:E230 E232:E237 E242:E245 E250:E253 E278:E280 E283:E288 E290:E291 E293:E297 E299:E300 E306:E313 E318:E325 E365:E368 E373 E385:E386 E395:E396 E399:E401 E403:E1048576">
    <cfRule type="duplicateValues" dxfId="590" priority="318"/>
  </conditionalFormatting>
  <conditionalFormatting sqref="E1:E8 E11:E16 E19:E29 E33:E36 E38:E40 E43:E44 E51 E54 E56:E59 E63 E65:E75 E79 E81:E88 E90:E118 E120:E130 E132 E136:E139 E141:E142 E145:E149 E151:E165 E168:E170 E172:E180 E182:E208 E210:E214 E216:E230 E232:E234 E236:E237 E242:E245 E250:E253 E279:E280 E283:E288 E290:E291 E294:E297 E299:E300 E306:E313 E318:E325 E365:E368 E373 E385 E395:E396 E399:E401 E404:E1048576">
    <cfRule type="duplicateValues" dxfId="589" priority="344"/>
  </conditionalFormatting>
  <conditionalFormatting sqref="E1:E8 E11:E16 E19:E29 E33:E36 E38:E40 E43:E44 E51 E54 E56:E59 E63 E65:E75 E79 E81:E88 E90:E118 E120:E130 E132 E136:E139 E141:E142 E145:E149 E151:E165 E168:E170 E172:E180 E182:E208 E210:E214 E216:E230 E232:E237 E242:E245 E250:E253 E279:E280 E283:E288 E290:E291 E294:E297 E299:E300 E306:E313 E318:E325 E365:E368 E373 E385 E395:E396 E399:E401 E404:E1048576">
    <cfRule type="duplicateValues" dxfId="588" priority="342"/>
  </conditionalFormatting>
  <conditionalFormatting sqref="E1:E8 E11:E16 E19:E29 E33:E36 E38:E40 E43:E44 E51 E54 E56:E59 E63 E65:E75 E79 E81:E88 E90:E118 E120:E130 E132 E136:E139 E141:E142 E145:E149 E151:E165 E168:E170 E172:E180 E182:E208 E210:E230 E232:E237 E242:E245 E250:E253 E278:E280 E283:E288 E290:E291 E293:E297 E299:E300 E306:E313 E318:E325 E365:E368 E373 E385 E395:E396 E399:E401 E404:E1048576">
    <cfRule type="duplicateValues" dxfId="587" priority="335"/>
  </conditionalFormatting>
  <conditionalFormatting sqref="E1:E8 E11:E16 E19:E29 E33:E36 E38:E40 E43:E44 E51 E54 E56:E59 E63 E65:E75 E79 E81:E88 E90:E118 E120:E130 E132 E136:E139 E141:E142 E145:E149 E151:E165 E168:E170 E172:E180 E182:E208 E210:E230 E232:E237 E242:E245 E250:E253 E279:E280 E283:E288 E290:E291 E294:E297 E299:E300 E306:E313 E318:E325 E365:E368 E373 E385 E395:E396 E399:E401 E404:E1048576">
    <cfRule type="duplicateValues" dxfId="586" priority="338"/>
  </conditionalFormatting>
  <conditionalFormatting sqref="E1:E8 E11:E16 E19:E29 E33:E36 E38:E40 E43:E44 E51 E54 E56:E59 E63 E65:E75 E79 E81:E88 E90:E118 E120:E130 E132 E136:E139 E141:E142 E145:E149 E151:E165 E168:E170 E172:E180 E183:E208 E210:E214 E216:E222 E224:E230 E232:E234 E236:E237 E242:E245 E250:E253 E279:E280 E283:E288 E290:E291 E294:E297 E299:E300 E306:E313 E318:E320 E322:E325 E365:E368 E373 E385 E395:E396 E399:E400 E404:E1048576">
    <cfRule type="duplicateValues" dxfId="585" priority="351"/>
  </conditionalFormatting>
  <conditionalFormatting sqref="E1:E8 E11:E16 E19:E29 E33:E36 E38:E40 E43:E44 E51 E54 E56:E59 E63 E65:E75 E79 E81:E88 E90:E118 E120:E130 E132 E136:E139 E141:E142 E145:E149 E151:E165 E168:E170 E172:E180 E183:E208 E210:E214 E216:E230 E232:E234 E236:E237 E242:E245 E250:E253 E279:E280 E283:E288 E290:E291 E294:E297 E299:E300 E306:E313 E318:E320 E322:E325 E365:E368 E373 E385 E395:E396 E399:E400 E404:E1048576">
    <cfRule type="duplicateValues" dxfId="584" priority="349"/>
  </conditionalFormatting>
  <conditionalFormatting sqref="E1:E8 E11:E16 E19:E29 E33:E36 E38:E40 E43:E44 E51 E54 E56:E59 E63 E65:E75 E79 E81:E88 E90:E118 E120:E130 E132 E136:E139 E141:E142 E145:E149 E151:E165 E168:E170 E172:E180 E183:E208 E210:E214 E216:E230 E232:E234 E236:E237 E242:E245 E250:E253 E279:E280 E283:E288 E290:E291 E294:E297 E299:E300 E306:E313 E318:E325 E365:E368 E373 E385 E395:E396 E399:E400 E404:E1048576">
    <cfRule type="duplicateValues" dxfId="583" priority="347"/>
  </conditionalFormatting>
  <conditionalFormatting sqref="E1:E8 E11:E16 E19:E29 E33:E36 E38:E40 E43:E44 E51 E54 E56:E59 E63 E65:E75 E79 E81:E88 E90:E118 E120:E130 E132 E136:E139 E141:E142 E145:E149 E151:E165 E168:E170 E172:E180 E183:E208 E210:E214 E216:E230 E232:E234 E236:E237 E242:E245 E250:E253 E279:E280 E283:E288 E290:E291 E294:E297 E299:E300 E306:E313 E318:E325 E365:E368 E373 E385 E395:E396 E399:E401 E404:E1048576">
    <cfRule type="duplicateValues" dxfId="582" priority="346"/>
  </conditionalFormatting>
  <conditionalFormatting sqref="E1:E8 E11:E29 E31:E36 E38:E40 E43:E44 E51 E54 E56:E59 E63 E65:E75 E78:E79 E81:E88 E90:E118 E120:E132 E136:E139 E141:E142 E145:E149 E151:E165 E167:E170 E172:E180 E182:E208 E210:E237 E242:E245 E250:E253 E273 E277:E297 E299:E300 E306:E313 E318:E325 E365:E368 E373 E385:E386 E395:E1048576">
    <cfRule type="duplicateValues" dxfId="581" priority="296"/>
  </conditionalFormatting>
  <conditionalFormatting sqref="E1:E8 E11:E29 E31:E36 E38:E40 E43:E44 E51 E54 E56:E59 E63 E65:E75 E78:E79 E81:E118 E120:E132 E136:E139 E141:E142 E145:E149 E151:E165 E167:E170 E172:E180 E182:E208 E210:E237 E242:E245 E250:E253 E273 E277:E297 E299:E300 E306:E313 E318:E325 E365:E368 E373 E385:E386 E395:E1048576">
    <cfRule type="duplicateValues" dxfId="580" priority="295"/>
  </conditionalFormatting>
  <conditionalFormatting sqref="E1:E8 E11:E29 E31:E36 E38:E40 E43:E44 E51 E54 E56:E59 E63 E65:E75 E78:E79 E81:E118 E120:E132 E136:E139 E141:E142 E145:E149 E151:E165 E167:E180 E182:E208 E210:E237 E242:E245 E250:E253 E273 E277:E297 E299:E300 E306:E313 E318:E325 E365:E368 E373 E385:E386 E395:E1048576">
    <cfRule type="duplicateValues" dxfId="579" priority="293"/>
  </conditionalFormatting>
  <conditionalFormatting sqref="E1:E8 E11:E29 E31:E36 E38:E40 E43:E44 E51 E54 E56:E59 E63 E65:E75 E78:E79 E81:E118 E120:E132 E136:E139 E141:E142 E145:E149 E151:E180 E182:E208 E210:E237 E242:E245 E250:E253 E273 E277:E297 E299:E300 E306:E313 E318:E325 E365:E368 E373 E385:E386 E395:E1048576">
    <cfRule type="duplicateValues" dxfId="578" priority="288"/>
  </conditionalFormatting>
  <conditionalFormatting sqref="E3:E4">
    <cfRule type="duplicateValues" dxfId="577" priority="440"/>
    <cfRule type="duplicateValues" dxfId="576" priority="441"/>
  </conditionalFormatting>
  <conditionalFormatting sqref="E3:E8 E11:E16 E19:E29 E34:E36">
    <cfRule type="duplicateValues" dxfId="575" priority="332"/>
  </conditionalFormatting>
  <conditionalFormatting sqref="E6">
    <cfRule type="duplicateValues" dxfId="574" priority="352"/>
  </conditionalFormatting>
  <conditionalFormatting sqref="E7">
    <cfRule type="duplicateValues" dxfId="573" priority="435"/>
    <cfRule type="duplicateValues" dxfId="572" priority="436"/>
    <cfRule type="duplicateValues" dxfId="571" priority="437"/>
  </conditionalFormatting>
  <conditionalFormatting sqref="E8">
    <cfRule type="duplicateValues" dxfId="570" priority="434"/>
  </conditionalFormatting>
  <conditionalFormatting sqref="E9">
    <cfRule type="duplicateValues" dxfId="569" priority="205"/>
    <cfRule type="duplicateValues" dxfId="568" priority="206"/>
  </conditionalFormatting>
  <conditionalFormatting sqref="E10">
    <cfRule type="duplicateValues" dxfId="567" priority="203"/>
    <cfRule type="duplicateValues" dxfId="566" priority="204"/>
  </conditionalFormatting>
  <conditionalFormatting sqref="E11:E12">
    <cfRule type="duplicateValues" dxfId="565" priority="480"/>
  </conditionalFormatting>
  <conditionalFormatting sqref="E13:E16 E19:E20">
    <cfRule type="duplicateValues" dxfId="564" priority="515"/>
  </conditionalFormatting>
  <conditionalFormatting sqref="E17:E18">
    <cfRule type="duplicateValues" dxfId="563" priority="297"/>
  </conditionalFormatting>
  <conditionalFormatting sqref="E21">
    <cfRule type="duplicateValues" dxfId="562" priority="512"/>
  </conditionalFormatting>
  <conditionalFormatting sqref="E22">
    <cfRule type="duplicateValues" dxfId="561" priority="511"/>
  </conditionalFormatting>
  <conditionalFormatting sqref="E23:E24">
    <cfRule type="duplicateValues" dxfId="560" priority="494"/>
  </conditionalFormatting>
  <conditionalFormatting sqref="E25:E26">
    <cfRule type="duplicateValues" dxfId="559" priority="479"/>
  </conditionalFormatting>
  <conditionalFormatting sqref="E27:E28 E34:E36">
    <cfRule type="duplicateValues" dxfId="558" priority="510"/>
  </conditionalFormatting>
  <conditionalFormatting sqref="E29">
    <cfRule type="duplicateValues" dxfId="557" priority="482"/>
  </conditionalFormatting>
  <conditionalFormatting sqref="E30">
    <cfRule type="duplicateValues" dxfId="556" priority="79"/>
  </conditionalFormatting>
  <conditionalFormatting sqref="E31">
    <cfRule type="duplicateValues" dxfId="555" priority="330"/>
  </conditionalFormatting>
  <conditionalFormatting sqref="E32">
    <cfRule type="duplicateValues" dxfId="554" priority="331"/>
  </conditionalFormatting>
  <conditionalFormatting sqref="E33 E51 E54 E56:E59 E63 E65:E75 E79">
    <cfRule type="duplicateValues" dxfId="553" priority="329"/>
  </conditionalFormatting>
  <conditionalFormatting sqref="E33 E70:E71 E79">
    <cfRule type="duplicateValues" dxfId="552" priority="509"/>
  </conditionalFormatting>
  <conditionalFormatting sqref="E37">
    <cfRule type="duplicateValues" dxfId="551" priority="69"/>
  </conditionalFormatting>
  <conditionalFormatting sqref="E39">
    <cfRule type="duplicateValues" dxfId="550" priority="431"/>
    <cfRule type="duplicateValues" dxfId="549" priority="432"/>
    <cfRule type="duplicateValues" dxfId="548" priority="433"/>
  </conditionalFormatting>
  <conditionalFormatting sqref="E42">
    <cfRule type="duplicateValues" dxfId="547" priority="81"/>
  </conditionalFormatting>
  <conditionalFormatting sqref="E45">
    <cfRule type="duplicateValues" dxfId="546" priority="78"/>
  </conditionalFormatting>
  <conditionalFormatting sqref="E46:E48">
    <cfRule type="duplicateValues" dxfId="545" priority="285"/>
  </conditionalFormatting>
  <conditionalFormatting sqref="E49">
    <cfRule type="duplicateValues" dxfId="544" priority="284"/>
  </conditionalFormatting>
  <conditionalFormatting sqref="E50">
    <cfRule type="duplicateValues" dxfId="543" priority="283"/>
  </conditionalFormatting>
  <conditionalFormatting sqref="E51">
    <cfRule type="duplicateValues" dxfId="542" priority="492"/>
  </conditionalFormatting>
  <conditionalFormatting sqref="E52:E53">
    <cfRule type="duplicateValues" dxfId="541" priority="282"/>
  </conditionalFormatting>
  <conditionalFormatting sqref="E54">
    <cfRule type="duplicateValues" dxfId="540" priority="491"/>
  </conditionalFormatting>
  <conditionalFormatting sqref="E55">
    <cfRule type="duplicateValues" dxfId="539" priority="68"/>
  </conditionalFormatting>
  <conditionalFormatting sqref="E56:E57">
    <cfRule type="duplicateValues" dxfId="538" priority="490"/>
  </conditionalFormatting>
  <conditionalFormatting sqref="E58">
    <cfRule type="duplicateValues" dxfId="537" priority="409"/>
    <cfRule type="duplicateValues" dxfId="536" priority="410"/>
  </conditionalFormatting>
  <conditionalFormatting sqref="E60">
    <cfRule type="duplicateValues" dxfId="535" priority="36"/>
    <cfRule type="duplicateValues" dxfId="534" priority="40"/>
  </conditionalFormatting>
  <conditionalFormatting sqref="E60:E61">
    <cfRule type="duplicateValues" dxfId="533" priority="9"/>
  </conditionalFormatting>
  <conditionalFormatting sqref="E61">
    <cfRule type="duplicateValues" dxfId="532" priority="10"/>
  </conditionalFormatting>
  <conditionalFormatting sqref="E62">
    <cfRule type="duplicateValues" dxfId="531" priority="96"/>
  </conditionalFormatting>
  <conditionalFormatting sqref="E63">
    <cfRule type="duplicateValues" dxfId="530" priority="378"/>
  </conditionalFormatting>
  <conditionalFormatting sqref="E64">
    <cfRule type="duplicateValues" dxfId="529" priority="94"/>
  </conditionalFormatting>
  <conditionalFormatting sqref="E65">
    <cfRule type="duplicateValues" dxfId="528" priority="489"/>
  </conditionalFormatting>
  <conditionalFormatting sqref="E66">
    <cfRule type="duplicateValues" dxfId="527" priority="508"/>
  </conditionalFormatting>
  <conditionalFormatting sqref="E67">
    <cfRule type="duplicateValues" dxfId="526" priority="478"/>
  </conditionalFormatting>
  <conditionalFormatting sqref="E68">
    <cfRule type="duplicateValues" dxfId="525" priority="455"/>
  </conditionalFormatting>
  <conditionalFormatting sqref="E69">
    <cfRule type="duplicateValues" dxfId="524" priority="454"/>
  </conditionalFormatting>
  <conditionalFormatting sqref="E72">
    <cfRule type="duplicateValues" dxfId="523" priority="453"/>
  </conditionalFormatting>
  <conditionalFormatting sqref="E73">
    <cfRule type="duplicateValues" dxfId="522" priority="452"/>
  </conditionalFormatting>
  <conditionalFormatting sqref="E74">
    <cfRule type="duplicateValues" dxfId="521" priority="486"/>
  </conditionalFormatting>
  <conditionalFormatting sqref="E75">
    <cfRule type="duplicateValues" dxfId="520" priority="487"/>
  </conditionalFormatting>
  <conditionalFormatting sqref="E76">
    <cfRule type="duplicateValues" dxfId="519" priority="281"/>
  </conditionalFormatting>
  <conditionalFormatting sqref="E77">
    <cfRule type="duplicateValues" dxfId="518" priority="93"/>
  </conditionalFormatting>
  <conditionalFormatting sqref="E80">
    <cfRule type="duplicateValues" dxfId="517" priority="98"/>
  </conditionalFormatting>
  <conditionalFormatting sqref="E81">
    <cfRule type="duplicateValues" dxfId="516" priority="476"/>
  </conditionalFormatting>
  <conditionalFormatting sqref="E81:E88 E90:E118 E120:E130 E132 E136:E139 E141:E142 E145:E148">
    <cfRule type="duplicateValues" dxfId="515" priority="328"/>
  </conditionalFormatting>
  <conditionalFormatting sqref="E82">
    <cfRule type="duplicateValues" dxfId="514" priority="475"/>
  </conditionalFormatting>
  <conditionalFormatting sqref="E83">
    <cfRule type="duplicateValues" dxfId="513" priority="474"/>
  </conditionalFormatting>
  <conditionalFormatting sqref="E84">
    <cfRule type="duplicateValues" dxfId="512" priority="477"/>
  </conditionalFormatting>
  <conditionalFormatting sqref="E85:E86 E88 E92:E93 E97:E99 E101 E103 E105:E114 E116 E120:E124">
    <cfRule type="duplicateValues" dxfId="511" priority="507"/>
  </conditionalFormatting>
  <conditionalFormatting sqref="E87">
    <cfRule type="duplicateValues" dxfId="510" priority="389"/>
    <cfRule type="duplicateValues" dxfId="509" priority="390"/>
  </conditionalFormatting>
  <conditionalFormatting sqref="E94">
    <cfRule type="duplicateValues" dxfId="508" priority="357"/>
  </conditionalFormatting>
  <conditionalFormatting sqref="E95">
    <cfRule type="duplicateValues" dxfId="507" priority="506"/>
  </conditionalFormatting>
  <conditionalFormatting sqref="E96">
    <cfRule type="duplicateValues" dxfId="506" priority="505"/>
  </conditionalFormatting>
  <conditionalFormatting sqref="E104">
    <cfRule type="duplicateValues" dxfId="505" priority="396"/>
  </conditionalFormatting>
  <conditionalFormatting sqref="E117">
    <cfRule type="duplicateValues" dxfId="504" priority="473"/>
  </conditionalFormatting>
  <conditionalFormatting sqref="E118">
    <cfRule type="duplicateValues" dxfId="503" priority="439"/>
  </conditionalFormatting>
  <conditionalFormatting sqref="E119">
    <cfRule type="duplicateValues" dxfId="502" priority="97"/>
  </conditionalFormatting>
  <conditionalFormatting sqref="E129:E130">
    <cfRule type="duplicateValues" dxfId="501" priority="448"/>
  </conditionalFormatting>
  <conditionalFormatting sqref="E130">
    <cfRule type="duplicateValues" dxfId="500" priority="449"/>
  </conditionalFormatting>
  <conditionalFormatting sqref="E131">
    <cfRule type="duplicateValues" dxfId="499" priority="312"/>
  </conditionalFormatting>
  <conditionalFormatting sqref="E132">
    <cfRule type="duplicateValues" dxfId="498" priority="472"/>
  </conditionalFormatting>
  <conditionalFormatting sqref="E133">
    <cfRule type="duplicateValues" dxfId="497" priority="280"/>
  </conditionalFormatting>
  <conditionalFormatting sqref="E134">
    <cfRule type="duplicateValues" dxfId="496" priority="279"/>
  </conditionalFormatting>
  <conditionalFormatting sqref="E135">
    <cfRule type="duplicateValues" dxfId="495" priority="202"/>
  </conditionalFormatting>
  <conditionalFormatting sqref="E136">
    <cfRule type="duplicateValues" dxfId="494" priority="388"/>
  </conditionalFormatting>
  <conditionalFormatting sqref="E137">
    <cfRule type="duplicateValues" dxfId="493" priority="447"/>
  </conditionalFormatting>
  <conditionalFormatting sqref="E138">
    <cfRule type="duplicateValues" dxfId="492" priority="371"/>
  </conditionalFormatting>
  <conditionalFormatting sqref="E139">
    <cfRule type="duplicateValues" dxfId="491" priority="450"/>
    <cfRule type="duplicateValues" dxfId="490" priority="451"/>
  </conditionalFormatting>
  <conditionalFormatting sqref="E140">
    <cfRule type="duplicateValues" dxfId="489" priority="92"/>
  </conditionalFormatting>
  <conditionalFormatting sqref="E141">
    <cfRule type="duplicateValues" dxfId="488" priority="446"/>
  </conditionalFormatting>
  <conditionalFormatting sqref="E142">
    <cfRule type="duplicateValues" dxfId="487" priority="445"/>
  </conditionalFormatting>
  <conditionalFormatting sqref="E143">
    <cfRule type="duplicateValues" dxfId="486" priority="278"/>
  </conditionalFormatting>
  <conditionalFormatting sqref="E145:E146">
    <cfRule type="duplicateValues" dxfId="485" priority="504"/>
  </conditionalFormatting>
  <conditionalFormatting sqref="E147:E148">
    <cfRule type="duplicateValues" dxfId="484" priority="370"/>
  </conditionalFormatting>
  <conditionalFormatting sqref="E149 E151 E153:E154 E156:E157 E161:E164 E168 E170 E173:E177 E179:E180 E183 E185:E189 E191:E197 E201 E206:E207 E210 E212 E214 E216:E217 E219:E221 E228:E230 E233">
    <cfRule type="duplicateValues" dxfId="483" priority="503"/>
  </conditionalFormatting>
  <conditionalFormatting sqref="E149 E151:E165 E168:E170 E172:E180 E182:E184 E233">
    <cfRule type="duplicateValues" dxfId="482" priority="327"/>
  </conditionalFormatting>
  <conditionalFormatting sqref="E150">
    <cfRule type="duplicateValues" dxfId="481" priority="91"/>
  </conditionalFormatting>
  <conditionalFormatting sqref="E152">
    <cfRule type="duplicateValues" dxfId="480" priority="502"/>
  </conditionalFormatting>
  <conditionalFormatting sqref="E155">
    <cfRule type="duplicateValues" dxfId="479" priority="493"/>
  </conditionalFormatting>
  <conditionalFormatting sqref="E158">
    <cfRule type="duplicateValues" dxfId="478" priority="377"/>
  </conditionalFormatting>
  <conditionalFormatting sqref="E159">
    <cfRule type="duplicateValues" dxfId="477" priority="398"/>
  </conditionalFormatting>
  <conditionalFormatting sqref="E160">
    <cfRule type="duplicateValues" dxfId="476" priority="498"/>
  </conditionalFormatting>
  <conditionalFormatting sqref="E165">
    <cfRule type="duplicateValues" dxfId="475" priority="499"/>
  </conditionalFormatting>
  <conditionalFormatting sqref="E166">
    <cfRule type="duplicateValues" dxfId="474" priority="292"/>
  </conditionalFormatting>
  <conditionalFormatting sqref="E169">
    <cfRule type="duplicateValues" dxfId="473" priority="376"/>
  </conditionalFormatting>
  <conditionalFormatting sqref="E171">
    <cfRule type="duplicateValues" dxfId="472" priority="294"/>
  </conditionalFormatting>
  <conditionalFormatting sqref="E172">
    <cfRule type="duplicateValues" dxfId="471" priority="368"/>
  </conditionalFormatting>
  <conditionalFormatting sqref="E178">
    <cfRule type="duplicateValues" dxfId="470" priority="467"/>
  </conditionalFormatting>
  <conditionalFormatting sqref="E181">
    <cfRule type="duplicateValues" dxfId="469" priority="277"/>
  </conditionalFormatting>
  <conditionalFormatting sqref="E182">
    <cfRule type="duplicateValues" dxfId="468" priority="345"/>
  </conditionalFormatting>
  <conditionalFormatting sqref="E184">
    <cfRule type="duplicateValues" dxfId="467" priority="465"/>
    <cfRule type="duplicateValues" dxfId="466" priority="466"/>
  </conditionalFormatting>
  <conditionalFormatting sqref="E185:E208 E210:E221">
    <cfRule type="duplicateValues" dxfId="465" priority="326"/>
  </conditionalFormatting>
  <conditionalFormatting sqref="E190">
    <cfRule type="duplicateValues" dxfId="464" priority="367"/>
  </conditionalFormatting>
  <conditionalFormatting sqref="E198">
    <cfRule type="duplicateValues" dxfId="463" priority="366"/>
  </conditionalFormatting>
  <conditionalFormatting sqref="E199">
    <cfRule type="duplicateValues" dxfId="462" priority="481"/>
  </conditionalFormatting>
  <conditionalFormatting sqref="E200">
    <cfRule type="duplicateValues" dxfId="461" priority="484"/>
  </conditionalFormatting>
  <conditionalFormatting sqref="E202">
    <cfRule type="duplicateValues" dxfId="460" priority="501"/>
  </conditionalFormatting>
  <conditionalFormatting sqref="E203">
    <cfRule type="duplicateValues" dxfId="459" priority="463"/>
  </conditionalFormatting>
  <conditionalFormatting sqref="E204">
    <cfRule type="duplicateValues" dxfId="458" priority="365"/>
  </conditionalFormatting>
  <conditionalFormatting sqref="E205">
    <cfRule type="duplicateValues" dxfId="457" priority="387"/>
  </conditionalFormatting>
  <conditionalFormatting sqref="E208">
    <cfRule type="duplicateValues" dxfId="456" priority="462"/>
  </conditionalFormatting>
  <conditionalFormatting sqref="E209">
    <cfRule type="duplicateValues" dxfId="455" priority="90"/>
  </conditionalFormatting>
  <conditionalFormatting sqref="E211">
    <cfRule type="duplicateValues" dxfId="454" priority="485"/>
  </conditionalFormatting>
  <conditionalFormatting sqref="E213">
    <cfRule type="duplicateValues" dxfId="453" priority="397"/>
  </conditionalFormatting>
  <conditionalFormatting sqref="E215">
    <cfRule type="duplicateValues" dxfId="452" priority="339"/>
  </conditionalFormatting>
  <conditionalFormatting sqref="E218">
    <cfRule type="duplicateValues" dxfId="451" priority="500"/>
  </conditionalFormatting>
  <conditionalFormatting sqref="E222">
    <cfRule type="duplicateValues" dxfId="450" priority="459"/>
  </conditionalFormatting>
  <conditionalFormatting sqref="E222:E230 E232 E234:E235">
    <cfRule type="duplicateValues" dxfId="449" priority="325"/>
  </conditionalFormatting>
  <conditionalFormatting sqref="E223">
    <cfRule type="duplicateValues" dxfId="448" priority="350"/>
  </conditionalFormatting>
  <conditionalFormatting sqref="E224">
    <cfRule type="duplicateValues" dxfId="447" priority="495"/>
  </conditionalFormatting>
  <conditionalFormatting sqref="E225">
    <cfRule type="duplicateValues" dxfId="446" priority="483"/>
  </conditionalFormatting>
  <conditionalFormatting sqref="E226">
    <cfRule type="duplicateValues" dxfId="445" priority="460"/>
  </conditionalFormatting>
  <conditionalFormatting sqref="E227">
    <cfRule type="duplicateValues" dxfId="444" priority="496"/>
  </conditionalFormatting>
  <conditionalFormatting sqref="E231">
    <cfRule type="duplicateValues" dxfId="443" priority="316"/>
  </conditionalFormatting>
  <conditionalFormatting sqref="E232">
    <cfRule type="duplicateValues" dxfId="442" priority="364"/>
  </conditionalFormatting>
  <conditionalFormatting sqref="E234">
    <cfRule type="duplicateValues" dxfId="441" priority="497"/>
  </conditionalFormatting>
  <conditionalFormatting sqref="E235">
    <cfRule type="duplicateValues" dxfId="440" priority="343"/>
  </conditionalFormatting>
  <conditionalFormatting sqref="E236:E237 E250 E253">
    <cfRule type="duplicateValues" dxfId="439" priority="488"/>
  </conditionalFormatting>
  <conditionalFormatting sqref="E238 E240:E241">
    <cfRule type="duplicateValues" dxfId="438" priority="275"/>
  </conditionalFormatting>
  <conditionalFormatting sqref="E238">
    <cfRule type="duplicateValues" dxfId="437" priority="276"/>
  </conditionalFormatting>
  <conditionalFormatting sqref="E238:E241">
    <cfRule type="duplicateValues" dxfId="436" priority="274"/>
  </conditionalFormatting>
  <conditionalFormatting sqref="E242">
    <cfRule type="duplicateValues" dxfId="435" priority="425"/>
  </conditionalFormatting>
  <conditionalFormatting sqref="E242:E245 E250:E253">
    <cfRule type="duplicateValues" dxfId="434" priority="324"/>
  </conditionalFormatting>
  <conditionalFormatting sqref="E243">
    <cfRule type="duplicateValues" dxfId="433" priority="424"/>
  </conditionalFormatting>
  <conditionalFormatting sqref="E245">
    <cfRule type="duplicateValues" dxfId="432" priority="423"/>
  </conditionalFormatting>
  <conditionalFormatting sqref="E246">
    <cfRule type="duplicateValues" dxfId="431" priority="273"/>
  </conditionalFormatting>
  <conditionalFormatting sqref="E246:E247">
    <cfRule type="duplicateValues" dxfId="430" priority="271"/>
  </conditionalFormatting>
  <conditionalFormatting sqref="E246:E249">
    <cfRule type="duplicateValues" dxfId="429" priority="270"/>
  </conditionalFormatting>
  <conditionalFormatting sqref="E247">
    <cfRule type="duplicateValues" dxfId="428" priority="272"/>
  </conditionalFormatting>
  <conditionalFormatting sqref="E251">
    <cfRule type="duplicateValues" dxfId="427" priority="363"/>
  </conditionalFormatting>
  <conditionalFormatting sqref="E252">
    <cfRule type="duplicateValues" dxfId="426" priority="421"/>
  </conditionalFormatting>
  <conditionalFormatting sqref="E254 E256">
    <cfRule type="duplicateValues" dxfId="425" priority="267"/>
  </conditionalFormatting>
  <conditionalFormatting sqref="E254 E256:E257">
    <cfRule type="duplicateValues" dxfId="424" priority="266"/>
  </conditionalFormatting>
  <conditionalFormatting sqref="E254">
    <cfRule type="duplicateValues" dxfId="423" priority="268"/>
    <cfRule type="duplicateValues" dxfId="422" priority="269"/>
  </conditionalFormatting>
  <conditionalFormatting sqref="E255">
    <cfRule type="duplicateValues" dxfId="421" priority="99"/>
  </conditionalFormatting>
  <conditionalFormatting sqref="E258:E259">
    <cfRule type="duplicateValues" dxfId="420" priority="263"/>
    <cfRule type="duplicateValues" dxfId="419" priority="264"/>
  </conditionalFormatting>
  <conditionalFormatting sqref="E258:E260">
    <cfRule type="duplicateValues" dxfId="418" priority="262"/>
  </conditionalFormatting>
  <conditionalFormatting sqref="E258:E261">
    <cfRule type="duplicateValues" dxfId="417" priority="260"/>
  </conditionalFormatting>
  <conditionalFormatting sqref="E261">
    <cfRule type="duplicateValues" dxfId="416" priority="261"/>
  </conditionalFormatting>
  <conditionalFormatting sqref="E263">
    <cfRule type="duplicateValues" dxfId="415" priority="258"/>
    <cfRule type="duplicateValues" dxfId="414" priority="259"/>
  </conditionalFormatting>
  <conditionalFormatting sqref="E265">
    <cfRule type="duplicateValues" dxfId="413" priority="200"/>
  </conditionalFormatting>
  <conditionalFormatting sqref="E266">
    <cfRule type="duplicateValues" dxfId="412" priority="257"/>
  </conditionalFormatting>
  <conditionalFormatting sqref="E266:E267">
    <cfRule type="duplicateValues" dxfId="411" priority="256"/>
  </conditionalFormatting>
  <conditionalFormatting sqref="E266:E269">
    <cfRule type="duplicateValues" dxfId="410" priority="254"/>
  </conditionalFormatting>
  <conditionalFormatting sqref="E268">
    <cfRule type="duplicateValues" dxfId="409" priority="255"/>
  </conditionalFormatting>
  <conditionalFormatting sqref="E270:E271">
    <cfRule type="duplicateValues" dxfId="408" priority="252"/>
    <cfRule type="duplicateValues" dxfId="407" priority="253"/>
  </conditionalFormatting>
  <conditionalFormatting sqref="E270:E272">
    <cfRule type="duplicateValues" dxfId="406" priority="251"/>
  </conditionalFormatting>
  <conditionalFormatting sqref="E273">
    <cfRule type="duplicateValues" dxfId="405" priority="302"/>
  </conditionalFormatting>
  <conditionalFormatting sqref="E274:E275">
    <cfRule type="duplicateValues" dxfId="404" priority="249"/>
    <cfRule type="duplicateValues" dxfId="403" priority="250"/>
  </conditionalFormatting>
  <conditionalFormatting sqref="E274:E276">
    <cfRule type="duplicateValues" dxfId="402" priority="248"/>
  </conditionalFormatting>
  <conditionalFormatting sqref="E277">
    <cfRule type="duplicateValues" dxfId="401" priority="306"/>
  </conditionalFormatting>
  <conditionalFormatting sqref="E278">
    <cfRule type="duplicateValues" dxfId="400" priority="337"/>
  </conditionalFormatting>
  <conditionalFormatting sqref="E278:E280 E283:E288 E290:E291 E293">
    <cfRule type="duplicateValues" dxfId="399" priority="323"/>
  </conditionalFormatting>
  <conditionalFormatting sqref="E281">
    <cfRule type="duplicateValues" dxfId="398" priority="307"/>
  </conditionalFormatting>
  <conditionalFormatting sqref="E282">
    <cfRule type="duplicateValues" dxfId="397" priority="308"/>
  </conditionalFormatting>
  <conditionalFormatting sqref="E283">
    <cfRule type="duplicateValues" dxfId="396" priority="394"/>
    <cfRule type="duplicateValues" dxfId="395" priority="395"/>
  </conditionalFormatting>
  <conditionalFormatting sqref="E285">
    <cfRule type="duplicateValues" dxfId="394" priority="419"/>
    <cfRule type="duplicateValues" dxfId="393" priority="420"/>
  </conditionalFormatting>
  <conditionalFormatting sqref="E289">
    <cfRule type="duplicateValues" dxfId="392" priority="309"/>
  </conditionalFormatting>
  <conditionalFormatting sqref="E290">
    <cfRule type="duplicateValues" dxfId="391" priority="471"/>
  </conditionalFormatting>
  <conditionalFormatting sqref="E291">
    <cfRule type="duplicateValues" dxfId="390" priority="392"/>
  </conditionalFormatting>
  <conditionalFormatting sqref="E292">
    <cfRule type="duplicateValues" dxfId="389" priority="310"/>
  </conditionalFormatting>
  <conditionalFormatting sqref="E293">
    <cfRule type="duplicateValues" dxfId="388" priority="336"/>
  </conditionalFormatting>
  <conditionalFormatting sqref="E294:E297 E299:E300 E306:E313 E318:E321">
    <cfRule type="duplicateValues" dxfId="387" priority="322"/>
  </conditionalFormatting>
  <conditionalFormatting sqref="E298">
    <cfRule type="duplicateValues" dxfId="386" priority="89"/>
  </conditionalFormatting>
  <conditionalFormatting sqref="E301">
    <cfRule type="duplicateValues" dxfId="385" priority="196"/>
  </conditionalFormatting>
  <conditionalFormatting sqref="E302:E303">
    <cfRule type="duplicateValues" dxfId="384" priority="191"/>
    <cfRule type="duplicateValues" dxfId="383" priority="194"/>
  </conditionalFormatting>
  <conditionalFormatting sqref="E302:E304">
    <cfRule type="duplicateValues" dxfId="382" priority="186"/>
  </conditionalFormatting>
  <conditionalFormatting sqref="E302:E305">
    <cfRule type="duplicateValues" dxfId="381" priority="185"/>
  </conditionalFormatting>
  <conditionalFormatting sqref="E304">
    <cfRule type="duplicateValues" dxfId="380" priority="189"/>
    <cfRule type="duplicateValues" dxfId="379" priority="190"/>
  </conditionalFormatting>
  <conditionalFormatting sqref="E312">
    <cfRule type="duplicateValues" dxfId="378" priority="416"/>
  </conditionalFormatting>
  <conditionalFormatting sqref="E313">
    <cfRule type="duplicateValues" dxfId="377" priority="417"/>
  </conditionalFormatting>
  <conditionalFormatting sqref="E314:E315">
    <cfRule type="duplicateValues" dxfId="376" priority="246"/>
    <cfRule type="duplicateValues" dxfId="375" priority="247"/>
  </conditionalFormatting>
  <conditionalFormatting sqref="E314:E316">
    <cfRule type="duplicateValues" dxfId="374" priority="245"/>
  </conditionalFormatting>
  <conditionalFormatting sqref="E314:E317">
    <cfRule type="duplicateValues" dxfId="373" priority="244"/>
  </conditionalFormatting>
  <conditionalFormatting sqref="E319:E320">
    <cfRule type="duplicateValues" dxfId="372" priority="414"/>
    <cfRule type="duplicateValues" dxfId="371" priority="415"/>
  </conditionalFormatting>
  <conditionalFormatting sqref="E321">
    <cfRule type="duplicateValues" dxfId="370" priority="348"/>
  </conditionalFormatting>
  <conditionalFormatting sqref="E322:E325">
    <cfRule type="duplicateValues" dxfId="369" priority="321"/>
  </conditionalFormatting>
  <conditionalFormatting sqref="E323">
    <cfRule type="duplicateValues" dxfId="368" priority="438"/>
  </conditionalFormatting>
  <conditionalFormatting sqref="E326 E329">
    <cfRule type="duplicateValues" dxfId="367" priority="180"/>
  </conditionalFormatting>
  <conditionalFormatting sqref="E326">
    <cfRule type="duplicateValues" dxfId="366" priority="184"/>
  </conditionalFormatting>
  <conditionalFormatting sqref="E326:E327 E329">
    <cfRule type="duplicateValues" dxfId="365" priority="179"/>
  </conditionalFormatting>
  <conditionalFormatting sqref="E326:E329">
    <cfRule type="duplicateValues" dxfId="364" priority="178"/>
  </conditionalFormatting>
  <conditionalFormatting sqref="E329">
    <cfRule type="duplicateValues" dxfId="363" priority="183"/>
  </conditionalFormatting>
  <conditionalFormatting sqref="E330">
    <cfRule type="duplicateValues" dxfId="362" priority="175"/>
    <cfRule type="duplicateValues" dxfId="361" priority="177"/>
  </conditionalFormatting>
  <conditionalFormatting sqref="E330:E331">
    <cfRule type="duplicateValues" dxfId="360" priority="170"/>
  </conditionalFormatting>
  <conditionalFormatting sqref="E330:E333">
    <cfRule type="duplicateValues" dxfId="359" priority="168"/>
  </conditionalFormatting>
  <conditionalFormatting sqref="E331">
    <cfRule type="duplicateValues" dxfId="358" priority="173"/>
    <cfRule type="duplicateValues" dxfId="357" priority="174"/>
  </conditionalFormatting>
  <conditionalFormatting sqref="E334:E335">
    <cfRule type="duplicateValues" dxfId="356" priority="232"/>
    <cfRule type="duplicateValues" dxfId="355" priority="233"/>
  </conditionalFormatting>
  <conditionalFormatting sqref="E334:E336">
    <cfRule type="duplicateValues" dxfId="354" priority="231"/>
  </conditionalFormatting>
  <conditionalFormatting sqref="E337">
    <cfRule type="duplicateValues" dxfId="353" priority="230"/>
  </conditionalFormatting>
  <conditionalFormatting sqref="E338 E340">
    <cfRule type="duplicateValues" dxfId="352" priority="165"/>
    <cfRule type="duplicateValues" dxfId="351" priority="167"/>
  </conditionalFormatting>
  <conditionalFormatting sqref="E338:E340">
    <cfRule type="duplicateValues" dxfId="350" priority="162"/>
  </conditionalFormatting>
  <conditionalFormatting sqref="E338:E341">
    <cfRule type="duplicateValues" dxfId="349" priority="156"/>
  </conditionalFormatting>
  <conditionalFormatting sqref="E339">
    <cfRule type="duplicateValues" dxfId="348" priority="163"/>
    <cfRule type="duplicateValues" dxfId="347" priority="164"/>
  </conditionalFormatting>
  <conditionalFormatting sqref="E341">
    <cfRule type="duplicateValues" dxfId="346" priority="160"/>
    <cfRule type="duplicateValues" dxfId="345" priority="161"/>
  </conditionalFormatting>
  <conditionalFormatting sqref="E342">
    <cfRule type="duplicateValues" dxfId="344" priority="229"/>
  </conditionalFormatting>
  <conditionalFormatting sqref="E342:E343 E345">
    <cfRule type="duplicateValues" dxfId="343" priority="226"/>
  </conditionalFormatting>
  <conditionalFormatting sqref="E342:E343">
    <cfRule type="duplicateValues" dxfId="342" priority="227"/>
  </conditionalFormatting>
  <conditionalFormatting sqref="E342:E345">
    <cfRule type="duplicateValues" dxfId="341" priority="225"/>
  </conditionalFormatting>
  <conditionalFormatting sqref="E343">
    <cfRule type="duplicateValues" dxfId="340" priority="228"/>
  </conditionalFormatting>
  <conditionalFormatting sqref="E346:E347 E349">
    <cfRule type="duplicateValues" dxfId="339" priority="146"/>
  </conditionalFormatting>
  <conditionalFormatting sqref="E346:E347">
    <cfRule type="duplicateValues" dxfId="338" priority="150"/>
    <cfRule type="duplicateValues" dxfId="337" priority="155"/>
  </conditionalFormatting>
  <conditionalFormatting sqref="E348">
    <cfRule type="duplicateValues" dxfId="336" priority="101"/>
    <cfRule type="duplicateValues" dxfId="335" priority="103"/>
  </conditionalFormatting>
  <conditionalFormatting sqref="E350">
    <cfRule type="duplicateValues" dxfId="334" priority="144"/>
  </conditionalFormatting>
  <conditionalFormatting sqref="E350:E351">
    <cfRule type="duplicateValues" dxfId="333" priority="143"/>
  </conditionalFormatting>
  <conditionalFormatting sqref="E350:E352">
    <cfRule type="duplicateValues" dxfId="332" priority="140"/>
  </conditionalFormatting>
  <conditionalFormatting sqref="E350:E353">
    <cfRule type="duplicateValues" dxfId="331" priority="135"/>
  </conditionalFormatting>
  <conditionalFormatting sqref="E351">
    <cfRule type="duplicateValues" dxfId="330" priority="145"/>
  </conditionalFormatting>
  <conditionalFormatting sqref="E352">
    <cfRule type="duplicateValues" dxfId="329" priority="141"/>
    <cfRule type="duplicateValues" dxfId="328" priority="142"/>
  </conditionalFormatting>
  <conditionalFormatting sqref="E354:E356">
    <cfRule type="duplicateValues" dxfId="327" priority="132"/>
    <cfRule type="duplicateValues" dxfId="326" priority="134"/>
  </conditionalFormatting>
  <conditionalFormatting sqref="E354:E357">
    <cfRule type="duplicateValues" dxfId="325" priority="127"/>
  </conditionalFormatting>
  <conditionalFormatting sqref="E358:E359">
    <cfRule type="duplicateValues" dxfId="324" priority="223"/>
    <cfRule type="duplicateValues" dxfId="323" priority="224"/>
  </conditionalFormatting>
  <conditionalFormatting sqref="E358:E361">
    <cfRule type="duplicateValues" dxfId="322" priority="222"/>
  </conditionalFormatting>
  <conditionalFormatting sqref="E362:E363">
    <cfRule type="duplicateValues" dxfId="321" priority="220"/>
    <cfRule type="duplicateValues" dxfId="320" priority="221"/>
  </conditionalFormatting>
  <conditionalFormatting sqref="E362:E364">
    <cfRule type="duplicateValues" dxfId="319" priority="219"/>
  </conditionalFormatting>
  <conditionalFormatting sqref="E365">
    <cfRule type="duplicateValues" dxfId="318" priority="428"/>
  </conditionalFormatting>
  <conditionalFormatting sqref="E365:E368 E373">
    <cfRule type="duplicateValues" dxfId="317" priority="320"/>
  </conditionalFormatting>
  <conditionalFormatting sqref="E369">
    <cfRule type="duplicateValues" dxfId="316" priority="73"/>
  </conditionalFormatting>
  <conditionalFormatting sqref="E370:E371">
    <cfRule type="duplicateValues" dxfId="315" priority="217"/>
    <cfRule type="duplicateValues" dxfId="314" priority="218"/>
  </conditionalFormatting>
  <conditionalFormatting sqref="E374:E375">
    <cfRule type="duplicateValues" dxfId="313" priority="216"/>
  </conditionalFormatting>
  <conditionalFormatting sqref="E374:E376">
    <cfRule type="duplicateValues" dxfId="312" priority="214"/>
  </conditionalFormatting>
  <conditionalFormatting sqref="E374:E377">
    <cfRule type="duplicateValues" dxfId="311" priority="213"/>
  </conditionalFormatting>
  <conditionalFormatting sqref="E376">
    <cfRule type="duplicateValues" dxfId="310" priority="215"/>
  </conditionalFormatting>
  <conditionalFormatting sqref="E378:E379 E381">
    <cfRule type="duplicateValues" dxfId="309" priority="124"/>
    <cfRule type="duplicateValues" dxfId="308" priority="126"/>
  </conditionalFormatting>
  <conditionalFormatting sqref="E378:E381">
    <cfRule type="duplicateValues" dxfId="307" priority="119"/>
  </conditionalFormatting>
  <conditionalFormatting sqref="E382:E383">
    <cfRule type="duplicateValues" dxfId="306" priority="111"/>
    <cfRule type="duplicateValues" dxfId="305" priority="118"/>
  </conditionalFormatting>
  <conditionalFormatting sqref="E385">
    <cfRule type="duplicateValues" dxfId="304" priority="427"/>
  </conditionalFormatting>
  <conditionalFormatting sqref="E385:E386 E395:E396 E399:E401 E403:E406">
    <cfRule type="duplicateValues" dxfId="303" priority="319"/>
  </conditionalFormatting>
  <conditionalFormatting sqref="E386">
    <cfRule type="duplicateValues" dxfId="302" priority="334"/>
  </conditionalFormatting>
  <conditionalFormatting sqref="E387 E389">
    <cfRule type="duplicateValues" dxfId="301" priority="107"/>
  </conditionalFormatting>
  <conditionalFormatting sqref="E387 E389:E390">
    <cfRule type="duplicateValues" dxfId="300" priority="105"/>
  </conditionalFormatting>
  <conditionalFormatting sqref="E388">
    <cfRule type="duplicateValues" dxfId="299" priority="70"/>
  </conditionalFormatting>
  <conditionalFormatting sqref="E389">
    <cfRule type="duplicateValues" dxfId="298" priority="109"/>
  </conditionalFormatting>
  <conditionalFormatting sqref="E391">
    <cfRule type="duplicateValues" dxfId="297" priority="86"/>
    <cfRule type="duplicateValues" dxfId="296" priority="87"/>
  </conditionalFormatting>
  <conditionalFormatting sqref="E391:E392 E394">
    <cfRule type="duplicateValues" dxfId="295" priority="84"/>
  </conditionalFormatting>
  <conditionalFormatting sqref="E391:E392">
    <cfRule type="duplicateValues" dxfId="294" priority="88"/>
  </conditionalFormatting>
  <conditionalFormatting sqref="E391:E394">
    <cfRule type="duplicateValues" dxfId="293" priority="82"/>
  </conditionalFormatting>
  <conditionalFormatting sqref="E396">
    <cfRule type="duplicateValues" dxfId="292" priority="380"/>
    <cfRule type="duplicateValues" dxfId="291" priority="381"/>
  </conditionalFormatting>
  <conditionalFormatting sqref="E398">
    <cfRule type="duplicateValues" dxfId="290" priority="300"/>
  </conditionalFormatting>
  <conditionalFormatting sqref="E399">
    <cfRule type="duplicateValues" dxfId="289" priority="382"/>
    <cfRule type="duplicateValues" dxfId="288" priority="383"/>
  </conditionalFormatting>
  <conditionalFormatting sqref="E400">
    <cfRule type="duplicateValues" dxfId="287" priority="443"/>
  </conditionalFormatting>
  <conditionalFormatting sqref="E403">
    <cfRule type="duplicateValues" dxfId="286" priority="333"/>
  </conditionalFormatting>
  <conditionalFormatting sqref="I288">
    <cfRule type="duplicateValues" dxfId="285" priority="444"/>
  </conditionalFormatting>
  <conditionalFormatting sqref="L270:L271">
    <cfRule type="duplicateValues" dxfId="284" priority="304"/>
    <cfRule type="duplicateValues" dxfId="283" priority="305"/>
  </conditionalFormatting>
  <conditionalFormatting sqref="L270:L272">
    <cfRule type="duplicateValues" dxfId="282" priority="303"/>
  </conditionalFormatting>
  <dataValidations count="1">
    <dataValidation allowBlank="1" showInputMessage="1" showErrorMessage="1" sqref="M1:M30 M33:M90 M92:M166 M168:M218 M220:M237 M244:M245 M248:M249 M260:M263 M265:M266 M268:M280 M282:M288 M290:M292 M294:M312 M315:M326 M328:M336 M338:M343 M346:M1048576" xr:uid="{00000000-0002-0000-0000-000000000000}"/>
  </dataValidations>
  <pageMargins left="0.75" right="0.75" top="1" bottom="1" header="0.5" footer="0.5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119DD-30DC-440C-9F5D-D6711108CCDC}">
  <dimension ref="A1:G889"/>
  <sheetViews>
    <sheetView workbookViewId="0">
      <selection sqref="A1:A1048576"/>
    </sheetView>
  </sheetViews>
  <sheetFormatPr defaultRowHeight="14.4" x14ac:dyDescent="0.25"/>
  <cols>
    <col min="1" max="1" width="11.6640625" bestFit="1" customWidth="1"/>
    <col min="2" max="2" width="5.5546875" bestFit="1" customWidth="1"/>
    <col min="3" max="3" width="9.5546875" bestFit="1" customWidth="1"/>
    <col min="5" max="5" width="6.21875" style="1" bestFit="1" customWidth="1"/>
    <col min="7" max="7" width="24.88671875" bestFit="1" customWidth="1"/>
  </cols>
  <sheetData>
    <row r="1" spans="1:7" ht="15.6" x14ac:dyDescent="0.25">
      <c r="A1" s="162" t="s">
        <v>7</v>
      </c>
      <c r="B1" s="162" t="s">
        <v>6</v>
      </c>
      <c r="C1" s="162" t="s">
        <v>3397</v>
      </c>
      <c r="D1" s="162"/>
      <c r="E1" s="158" t="s">
        <v>592</v>
      </c>
      <c r="F1" s="162"/>
      <c r="G1" s="162" t="s">
        <v>3392</v>
      </c>
    </row>
    <row r="2" spans="1:7" x14ac:dyDescent="0.25">
      <c r="C2" t="s">
        <v>3393</v>
      </c>
      <c r="E2" s="1" t="s">
        <v>3393</v>
      </c>
      <c r="G2" t="s">
        <v>749</v>
      </c>
    </row>
    <row r="3" spans="1:7" x14ac:dyDescent="0.25">
      <c r="A3" t="s">
        <v>64</v>
      </c>
      <c r="B3" t="s">
        <v>15</v>
      </c>
      <c r="E3" s="1" t="s">
        <v>593</v>
      </c>
      <c r="G3" t="s">
        <v>700</v>
      </c>
    </row>
    <row r="4" spans="1:7" x14ac:dyDescent="0.25">
      <c r="A4" t="s">
        <v>16</v>
      </c>
      <c r="B4" t="s">
        <v>19</v>
      </c>
      <c r="E4" s="1" t="s">
        <v>111</v>
      </c>
      <c r="G4" t="s">
        <v>626</v>
      </c>
    </row>
    <row r="5" spans="1:7" x14ac:dyDescent="0.25">
      <c r="A5" t="s">
        <v>308</v>
      </c>
      <c r="E5" s="1" t="s">
        <v>594</v>
      </c>
      <c r="G5" t="s">
        <v>645</v>
      </c>
    </row>
    <row r="6" spans="1:7" x14ac:dyDescent="0.25">
      <c r="A6" t="s">
        <v>280</v>
      </c>
      <c r="E6" s="1" t="s">
        <v>596</v>
      </c>
      <c r="G6" t="s">
        <v>665</v>
      </c>
    </row>
    <row r="7" spans="1:7" x14ac:dyDescent="0.25">
      <c r="A7" t="s">
        <v>333</v>
      </c>
      <c r="E7" s="1" t="s">
        <v>587</v>
      </c>
      <c r="G7" t="s">
        <v>673</v>
      </c>
    </row>
    <row r="8" spans="1:7" x14ac:dyDescent="0.25">
      <c r="A8" t="s">
        <v>114</v>
      </c>
      <c r="E8" s="1" t="s">
        <v>590</v>
      </c>
      <c r="G8" t="s">
        <v>712</v>
      </c>
    </row>
    <row r="9" spans="1:7" x14ac:dyDescent="0.25">
      <c r="A9" t="s">
        <v>85</v>
      </c>
      <c r="E9" s="1" t="s">
        <v>595</v>
      </c>
      <c r="G9" t="s">
        <v>173</v>
      </c>
    </row>
    <row r="10" spans="1:7" x14ac:dyDescent="0.25">
      <c r="E10" s="1" t="s">
        <v>597</v>
      </c>
      <c r="G10" t="s">
        <v>906</v>
      </c>
    </row>
    <row r="11" spans="1:7" x14ac:dyDescent="0.25">
      <c r="E11" s="1" t="s">
        <v>361</v>
      </c>
      <c r="G11" t="s">
        <v>918</v>
      </c>
    </row>
    <row r="12" spans="1:7" x14ac:dyDescent="0.25">
      <c r="E12"/>
      <c r="G12" t="s">
        <v>943</v>
      </c>
    </row>
    <row r="13" spans="1:7" x14ac:dyDescent="0.25">
      <c r="E13"/>
      <c r="G13" t="s">
        <v>962</v>
      </c>
    </row>
    <row r="14" spans="1:7" x14ac:dyDescent="0.25">
      <c r="E14"/>
      <c r="G14" t="s">
        <v>989</v>
      </c>
    </row>
    <row r="15" spans="1:7" x14ac:dyDescent="0.25">
      <c r="E15"/>
      <c r="G15" t="s">
        <v>1003</v>
      </c>
    </row>
    <row r="16" spans="1:7" x14ac:dyDescent="0.25">
      <c r="E16"/>
      <c r="G16" t="s">
        <v>1045</v>
      </c>
    </row>
    <row r="17" spans="5:7" x14ac:dyDescent="0.25">
      <c r="E17"/>
      <c r="G17" t="s">
        <v>1102</v>
      </c>
    </row>
    <row r="18" spans="5:7" x14ac:dyDescent="0.25">
      <c r="E18"/>
      <c r="G18" t="s">
        <v>1112</v>
      </c>
    </row>
    <row r="19" spans="5:7" x14ac:dyDescent="0.25">
      <c r="E19"/>
      <c r="G19" t="s">
        <v>1264</v>
      </c>
    </row>
    <row r="20" spans="5:7" x14ac:dyDescent="0.25">
      <c r="E20"/>
      <c r="G20" t="s">
        <v>1297</v>
      </c>
    </row>
    <row r="21" spans="5:7" x14ac:dyDescent="0.25">
      <c r="E21"/>
    </row>
    <row r="22" spans="5:7" x14ac:dyDescent="0.25">
      <c r="E22"/>
      <c r="G22" t="s">
        <v>1379</v>
      </c>
    </row>
    <row r="23" spans="5:7" x14ac:dyDescent="0.25">
      <c r="E23"/>
      <c r="G23" t="s">
        <v>1390</v>
      </c>
    </row>
    <row r="24" spans="5:7" x14ac:dyDescent="0.25">
      <c r="E24"/>
      <c r="G24" t="s">
        <v>1396</v>
      </c>
    </row>
    <row r="25" spans="5:7" x14ac:dyDescent="0.25">
      <c r="E25"/>
      <c r="G25" t="s">
        <v>1434</v>
      </c>
    </row>
    <row r="26" spans="5:7" x14ac:dyDescent="0.25">
      <c r="E26"/>
      <c r="G26" t="s">
        <v>1477</v>
      </c>
    </row>
    <row r="27" spans="5:7" x14ac:dyDescent="0.25">
      <c r="E27"/>
      <c r="G27" t="s">
        <v>1533</v>
      </c>
    </row>
    <row r="28" spans="5:7" x14ac:dyDescent="0.25">
      <c r="E28"/>
      <c r="G28" t="s">
        <v>1666</v>
      </c>
    </row>
    <row r="29" spans="5:7" x14ac:dyDescent="0.25">
      <c r="E29"/>
      <c r="G29" t="s">
        <v>1820</v>
      </c>
    </row>
    <row r="30" spans="5:7" x14ac:dyDescent="0.25">
      <c r="E30"/>
      <c r="G30" t="s">
        <v>1898</v>
      </c>
    </row>
    <row r="31" spans="5:7" x14ac:dyDescent="0.25">
      <c r="E31"/>
      <c r="G31" t="s">
        <v>1903</v>
      </c>
    </row>
    <row r="32" spans="5:7" x14ac:dyDescent="0.25">
      <c r="E32"/>
      <c r="G32" t="s">
        <v>1970</v>
      </c>
    </row>
    <row r="33" spans="5:7" x14ac:dyDescent="0.25">
      <c r="E33"/>
      <c r="G33" t="s">
        <v>1991</v>
      </c>
    </row>
    <row r="34" spans="5:7" x14ac:dyDescent="0.25">
      <c r="E34"/>
      <c r="G34" t="s">
        <v>2069</v>
      </c>
    </row>
    <row r="35" spans="5:7" x14ac:dyDescent="0.25">
      <c r="E35"/>
      <c r="G35" t="s">
        <v>2132</v>
      </c>
    </row>
    <row r="36" spans="5:7" x14ac:dyDescent="0.25">
      <c r="E36"/>
      <c r="G36" t="s">
        <v>2211</v>
      </c>
    </row>
    <row r="37" spans="5:7" x14ac:dyDescent="0.25">
      <c r="E37"/>
      <c r="G37" t="s">
        <v>2344</v>
      </c>
    </row>
    <row r="38" spans="5:7" x14ac:dyDescent="0.25">
      <c r="E38"/>
      <c r="G38" t="s">
        <v>2403</v>
      </c>
    </row>
    <row r="39" spans="5:7" x14ac:dyDescent="0.25">
      <c r="E39"/>
      <c r="G39" t="s">
        <v>2871</v>
      </c>
    </row>
    <row r="40" spans="5:7" x14ac:dyDescent="0.25">
      <c r="E40"/>
      <c r="G40" t="s">
        <v>610</v>
      </c>
    </row>
    <row r="41" spans="5:7" x14ac:dyDescent="0.25">
      <c r="E41"/>
      <c r="G41" t="s">
        <v>2971</v>
      </c>
    </row>
    <row r="42" spans="5:7" x14ac:dyDescent="0.25">
      <c r="E42"/>
      <c r="G42" t="s">
        <v>2561</v>
      </c>
    </row>
    <row r="43" spans="5:7" x14ac:dyDescent="0.25">
      <c r="E43"/>
      <c r="G43" t="s">
        <v>3329</v>
      </c>
    </row>
    <row r="44" spans="5:7" x14ac:dyDescent="0.25">
      <c r="E44"/>
      <c r="G44" t="s">
        <v>616</v>
      </c>
    </row>
    <row r="45" spans="5:7" x14ac:dyDescent="0.25">
      <c r="E45"/>
      <c r="G45" t="s">
        <v>621</v>
      </c>
    </row>
    <row r="46" spans="5:7" x14ac:dyDescent="0.25">
      <c r="E46"/>
      <c r="G46" t="s">
        <v>67</v>
      </c>
    </row>
    <row r="47" spans="5:7" x14ac:dyDescent="0.25">
      <c r="E47"/>
      <c r="G47" t="s">
        <v>640</v>
      </c>
    </row>
    <row r="48" spans="5:7" x14ac:dyDescent="0.25">
      <c r="E48"/>
      <c r="G48" t="s">
        <v>653</v>
      </c>
    </row>
    <row r="49" spans="5:7" x14ac:dyDescent="0.25">
      <c r="E49"/>
      <c r="G49" t="s">
        <v>102</v>
      </c>
    </row>
    <row r="50" spans="5:7" x14ac:dyDescent="0.25">
      <c r="E50"/>
      <c r="G50" t="s">
        <v>695</v>
      </c>
    </row>
    <row r="51" spans="5:7" x14ac:dyDescent="0.25">
      <c r="E51"/>
      <c r="G51" t="s">
        <v>703</v>
      </c>
    </row>
    <row r="52" spans="5:7" x14ac:dyDescent="0.25">
      <c r="E52"/>
      <c r="G52" t="s">
        <v>716</v>
      </c>
    </row>
    <row r="53" spans="5:7" x14ac:dyDescent="0.25">
      <c r="E53"/>
      <c r="G53" t="s">
        <v>168</v>
      </c>
    </row>
    <row r="54" spans="5:7" x14ac:dyDescent="0.25">
      <c r="E54"/>
      <c r="G54" t="s">
        <v>744</v>
      </c>
    </row>
    <row r="55" spans="5:7" x14ac:dyDescent="0.25">
      <c r="E55"/>
      <c r="G55" t="s">
        <v>752</v>
      </c>
    </row>
    <row r="56" spans="5:7" x14ac:dyDescent="0.25">
      <c r="E56"/>
      <c r="G56" t="s">
        <v>768</v>
      </c>
    </row>
    <row r="57" spans="5:7" x14ac:dyDescent="0.25">
      <c r="E57"/>
      <c r="G57" t="s">
        <v>775</v>
      </c>
    </row>
    <row r="58" spans="5:7" x14ac:dyDescent="0.25">
      <c r="E58"/>
      <c r="G58" t="s">
        <v>779</v>
      </c>
    </row>
    <row r="59" spans="5:7" x14ac:dyDescent="0.25">
      <c r="E59"/>
      <c r="G59" t="s">
        <v>814</v>
      </c>
    </row>
    <row r="60" spans="5:7" x14ac:dyDescent="0.25">
      <c r="E60"/>
      <c r="G60" t="s">
        <v>819</v>
      </c>
    </row>
    <row r="61" spans="5:7" x14ac:dyDescent="0.25">
      <c r="E61"/>
      <c r="G61" t="s">
        <v>829</v>
      </c>
    </row>
    <row r="62" spans="5:7" x14ac:dyDescent="0.25">
      <c r="E62"/>
      <c r="G62" t="s">
        <v>840</v>
      </c>
    </row>
    <row r="63" spans="5:7" x14ac:dyDescent="0.25">
      <c r="E63"/>
      <c r="G63" t="s">
        <v>876</v>
      </c>
    </row>
    <row r="64" spans="5:7" x14ac:dyDescent="0.25">
      <c r="E64"/>
      <c r="G64" t="s">
        <v>836</v>
      </c>
    </row>
    <row r="65" spans="5:7" x14ac:dyDescent="0.25">
      <c r="E65"/>
      <c r="G65" t="s">
        <v>897</v>
      </c>
    </row>
    <row r="66" spans="5:7" x14ac:dyDescent="0.25">
      <c r="E66"/>
      <c r="G66" t="s">
        <v>914</v>
      </c>
    </row>
    <row r="67" spans="5:7" x14ac:dyDescent="0.25">
      <c r="E67"/>
      <c r="G67" t="s">
        <v>925</v>
      </c>
    </row>
    <row r="68" spans="5:7" x14ac:dyDescent="0.25">
      <c r="E68"/>
      <c r="G68" t="s">
        <v>980</v>
      </c>
    </row>
    <row r="69" spans="5:7" x14ac:dyDescent="0.25">
      <c r="E69"/>
      <c r="G69" t="s">
        <v>1012</v>
      </c>
    </row>
    <row r="70" spans="5:7" x14ac:dyDescent="0.25">
      <c r="E70"/>
      <c r="G70" t="s">
        <v>1033</v>
      </c>
    </row>
    <row r="71" spans="5:7" x14ac:dyDescent="0.25">
      <c r="E71"/>
      <c r="G71" t="s">
        <v>1066</v>
      </c>
    </row>
    <row r="72" spans="5:7" x14ac:dyDescent="0.25">
      <c r="E72"/>
      <c r="G72" t="s">
        <v>1072</v>
      </c>
    </row>
    <row r="73" spans="5:7" x14ac:dyDescent="0.25">
      <c r="E73"/>
      <c r="G73" t="s">
        <v>1136</v>
      </c>
    </row>
    <row r="74" spans="5:7" x14ac:dyDescent="0.25">
      <c r="E74"/>
      <c r="G74" t="s">
        <v>1190</v>
      </c>
    </row>
    <row r="75" spans="5:7" x14ac:dyDescent="0.25">
      <c r="E75"/>
      <c r="G75" t="s">
        <v>1205</v>
      </c>
    </row>
    <row r="76" spans="5:7" x14ac:dyDescent="0.25">
      <c r="E76"/>
      <c r="G76" t="s">
        <v>1235</v>
      </c>
    </row>
    <row r="77" spans="5:7" x14ac:dyDescent="0.25">
      <c r="E77"/>
      <c r="G77" t="s">
        <v>1240</v>
      </c>
    </row>
    <row r="78" spans="5:7" x14ac:dyDescent="0.25">
      <c r="E78"/>
      <c r="G78" t="s">
        <v>1244</v>
      </c>
    </row>
    <row r="79" spans="5:7" x14ac:dyDescent="0.25">
      <c r="E79"/>
      <c r="G79" t="s">
        <v>1278</v>
      </c>
    </row>
    <row r="80" spans="5:7" x14ac:dyDescent="0.25">
      <c r="E80"/>
      <c r="G80" t="s">
        <v>1301</v>
      </c>
    </row>
    <row r="81" spans="5:7" x14ac:dyDescent="0.25">
      <c r="E81"/>
      <c r="G81" t="s">
        <v>1346</v>
      </c>
    </row>
    <row r="82" spans="5:7" x14ac:dyDescent="0.25">
      <c r="E82"/>
      <c r="G82" t="s">
        <v>1348</v>
      </c>
    </row>
    <row r="83" spans="5:7" x14ac:dyDescent="0.25">
      <c r="E83"/>
      <c r="G83" t="s">
        <v>1368</v>
      </c>
    </row>
    <row r="84" spans="5:7" x14ac:dyDescent="0.25">
      <c r="E84"/>
      <c r="G84" t="s">
        <v>1406</v>
      </c>
    </row>
    <row r="85" spans="5:7" x14ac:dyDescent="0.25">
      <c r="E85"/>
      <c r="G85" t="s">
        <v>1411</v>
      </c>
    </row>
    <row r="86" spans="5:7" x14ac:dyDescent="0.25">
      <c r="E86"/>
      <c r="G86" t="s">
        <v>1513</v>
      </c>
    </row>
    <row r="87" spans="5:7" x14ac:dyDescent="0.25">
      <c r="E87"/>
      <c r="G87" t="s">
        <v>1603</v>
      </c>
    </row>
    <row r="88" spans="5:7" x14ac:dyDescent="0.25">
      <c r="E88"/>
      <c r="G88" t="s">
        <v>1638</v>
      </c>
    </row>
    <row r="89" spans="5:7" x14ac:dyDescent="0.25">
      <c r="E89"/>
      <c r="G89" t="s">
        <v>1643</v>
      </c>
    </row>
    <row r="90" spans="5:7" x14ac:dyDescent="0.25">
      <c r="E90"/>
      <c r="G90" t="s">
        <v>1753</v>
      </c>
    </row>
    <row r="91" spans="5:7" x14ac:dyDescent="0.25">
      <c r="E91"/>
      <c r="G91" t="s">
        <v>1768</v>
      </c>
    </row>
    <row r="92" spans="5:7" x14ac:dyDescent="0.25">
      <c r="E92"/>
      <c r="G92" t="s">
        <v>1785</v>
      </c>
    </row>
    <row r="93" spans="5:7" x14ac:dyDescent="0.25">
      <c r="E93"/>
      <c r="G93" t="s">
        <v>1805</v>
      </c>
    </row>
    <row r="94" spans="5:7" x14ac:dyDescent="0.25">
      <c r="E94"/>
      <c r="G94" t="s">
        <v>1835</v>
      </c>
    </row>
    <row r="95" spans="5:7" x14ac:dyDescent="0.25">
      <c r="E95"/>
      <c r="G95" t="s">
        <v>1849</v>
      </c>
    </row>
    <row r="96" spans="5:7" x14ac:dyDescent="0.25">
      <c r="E96"/>
      <c r="G96" t="s">
        <v>1853</v>
      </c>
    </row>
    <row r="97" spans="5:7" x14ac:dyDescent="0.25">
      <c r="E97"/>
      <c r="G97" t="s">
        <v>1883</v>
      </c>
    </row>
    <row r="98" spans="5:7" x14ac:dyDescent="0.25">
      <c r="E98"/>
      <c r="G98" t="s">
        <v>1919</v>
      </c>
    </row>
    <row r="99" spans="5:7" x14ac:dyDescent="0.25">
      <c r="E99"/>
      <c r="G99" t="s">
        <v>1923</v>
      </c>
    </row>
    <row r="100" spans="5:7" x14ac:dyDescent="0.25">
      <c r="E100"/>
      <c r="G100" t="s">
        <v>2015</v>
      </c>
    </row>
    <row r="101" spans="5:7" x14ac:dyDescent="0.25">
      <c r="E101"/>
      <c r="G101" t="s">
        <v>2046</v>
      </c>
    </row>
    <row r="102" spans="5:7" x14ac:dyDescent="0.25">
      <c r="E102"/>
      <c r="G102" t="s">
        <v>2198</v>
      </c>
    </row>
    <row r="103" spans="5:7" x14ac:dyDescent="0.25">
      <c r="E103"/>
      <c r="G103" t="s">
        <v>2340</v>
      </c>
    </row>
    <row r="104" spans="5:7" x14ac:dyDescent="0.25">
      <c r="E104"/>
      <c r="G104" t="s">
        <v>2424</v>
      </c>
    </row>
    <row r="105" spans="5:7" x14ac:dyDescent="0.25">
      <c r="E105"/>
      <c r="G105" t="s">
        <v>2465</v>
      </c>
    </row>
    <row r="106" spans="5:7" x14ac:dyDescent="0.25">
      <c r="E106"/>
      <c r="G106" t="s">
        <v>2611</v>
      </c>
    </row>
    <row r="107" spans="5:7" x14ac:dyDescent="0.25">
      <c r="E107"/>
      <c r="G107" t="s">
        <v>2779</v>
      </c>
    </row>
    <row r="108" spans="5:7" x14ac:dyDescent="0.25">
      <c r="E108"/>
      <c r="G108" t="s">
        <v>2821</v>
      </c>
    </row>
    <row r="109" spans="5:7" x14ac:dyDescent="0.25">
      <c r="E109"/>
      <c r="G109" t="s">
        <v>2922</v>
      </c>
    </row>
    <row r="110" spans="5:7" x14ac:dyDescent="0.25">
      <c r="E110"/>
      <c r="G110" t="s">
        <v>374</v>
      </c>
    </row>
    <row r="111" spans="5:7" x14ac:dyDescent="0.25">
      <c r="E111"/>
      <c r="G111" t="s">
        <v>3059</v>
      </c>
    </row>
    <row r="112" spans="5:7" x14ac:dyDescent="0.25">
      <c r="E112"/>
      <c r="G112" t="s">
        <v>3146</v>
      </c>
    </row>
    <row r="113" spans="5:7" x14ac:dyDescent="0.25">
      <c r="E113"/>
      <c r="G113" t="s">
        <v>678</v>
      </c>
    </row>
    <row r="114" spans="5:7" x14ac:dyDescent="0.25">
      <c r="E114"/>
      <c r="G114" t="s">
        <v>795</v>
      </c>
    </row>
    <row r="115" spans="5:7" x14ac:dyDescent="0.25">
      <c r="E115"/>
      <c r="G115" t="s">
        <v>993</v>
      </c>
    </row>
    <row r="116" spans="5:7" x14ac:dyDescent="0.25">
      <c r="E116"/>
      <c r="G116" t="s">
        <v>1022</v>
      </c>
    </row>
    <row r="117" spans="5:7" x14ac:dyDescent="0.25">
      <c r="E117"/>
      <c r="G117" t="s">
        <v>1080</v>
      </c>
    </row>
    <row r="118" spans="5:7" x14ac:dyDescent="0.25">
      <c r="E118"/>
      <c r="G118" t="s">
        <v>1431</v>
      </c>
    </row>
    <row r="119" spans="5:7" x14ac:dyDescent="0.25">
      <c r="E119"/>
      <c r="G119" t="s">
        <v>1467</v>
      </c>
    </row>
    <row r="120" spans="5:7" x14ac:dyDescent="0.25">
      <c r="E120"/>
      <c r="G120" t="s">
        <v>1939</v>
      </c>
    </row>
    <row r="121" spans="5:7" x14ac:dyDescent="0.25">
      <c r="E121"/>
      <c r="G121" t="s">
        <v>1953</v>
      </c>
    </row>
    <row r="122" spans="5:7" x14ac:dyDescent="0.25">
      <c r="E122"/>
      <c r="G122" t="s">
        <v>2110</v>
      </c>
    </row>
    <row r="123" spans="5:7" x14ac:dyDescent="0.25">
      <c r="E123"/>
      <c r="G123" t="s">
        <v>2399</v>
      </c>
    </row>
    <row r="124" spans="5:7" x14ac:dyDescent="0.25">
      <c r="E124"/>
      <c r="G124" t="s">
        <v>2746</v>
      </c>
    </row>
    <row r="125" spans="5:7" x14ac:dyDescent="0.25">
      <c r="E125"/>
      <c r="G125" t="s">
        <v>631</v>
      </c>
    </row>
    <row r="126" spans="5:7" x14ac:dyDescent="0.25">
      <c r="E126"/>
      <c r="G126" t="s">
        <v>86</v>
      </c>
    </row>
    <row r="127" spans="5:7" x14ac:dyDescent="0.25">
      <c r="E127"/>
      <c r="G127" t="s">
        <v>661</v>
      </c>
    </row>
    <row r="128" spans="5:7" x14ac:dyDescent="0.25">
      <c r="E128"/>
      <c r="G128" t="s">
        <v>691</v>
      </c>
    </row>
    <row r="129" spans="5:7" x14ac:dyDescent="0.25">
      <c r="E129"/>
      <c r="G129" t="s">
        <v>211</v>
      </c>
    </row>
    <row r="130" spans="5:7" x14ac:dyDescent="0.25">
      <c r="E130"/>
      <c r="G130" t="s">
        <v>806</v>
      </c>
    </row>
    <row r="131" spans="5:7" x14ac:dyDescent="0.25">
      <c r="E131"/>
      <c r="G131" t="s">
        <v>856</v>
      </c>
    </row>
    <row r="132" spans="5:7" x14ac:dyDescent="0.25">
      <c r="E132"/>
      <c r="G132" t="s">
        <v>1027</v>
      </c>
    </row>
    <row r="133" spans="5:7" x14ac:dyDescent="0.25">
      <c r="E133"/>
      <c r="G133" t="s">
        <v>1226</v>
      </c>
    </row>
    <row r="134" spans="5:7" x14ac:dyDescent="0.25">
      <c r="E134"/>
      <c r="G134" t="s">
        <v>1373</v>
      </c>
    </row>
    <row r="135" spans="5:7" x14ac:dyDescent="0.25">
      <c r="E135"/>
      <c r="G135" t="s">
        <v>1454</v>
      </c>
    </row>
    <row r="136" spans="5:7" x14ac:dyDescent="0.25">
      <c r="E136"/>
      <c r="G136" t="s">
        <v>1656</v>
      </c>
    </row>
    <row r="137" spans="5:7" x14ac:dyDescent="0.25">
      <c r="E137"/>
      <c r="G137" t="s">
        <v>1999</v>
      </c>
    </row>
    <row r="138" spans="5:7" x14ac:dyDescent="0.25">
      <c r="E138"/>
      <c r="G138" t="s">
        <v>2019</v>
      </c>
    </row>
    <row r="139" spans="5:7" x14ac:dyDescent="0.25">
      <c r="E139"/>
      <c r="G139" t="s">
        <v>2447</v>
      </c>
    </row>
    <row r="140" spans="5:7" x14ac:dyDescent="0.25">
      <c r="E140"/>
      <c r="G140" t="s">
        <v>2635</v>
      </c>
    </row>
    <row r="141" spans="5:7" x14ac:dyDescent="0.25">
      <c r="E141"/>
      <c r="G141" t="s">
        <v>2763</v>
      </c>
    </row>
    <row r="142" spans="5:7" x14ac:dyDescent="0.25">
      <c r="E142"/>
    </row>
    <row r="143" spans="5:7" x14ac:dyDescent="0.25">
      <c r="E143"/>
    </row>
    <row r="144" spans="5:7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x14ac:dyDescent="0.25">
      <c r="E155"/>
    </row>
    <row r="156" spans="5:5" x14ac:dyDescent="0.25">
      <c r="E156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x14ac:dyDescent="0.25">
      <c r="E169"/>
    </row>
    <row r="170" spans="5:5" x14ac:dyDescent="0.25">
      <c r="E170"/>
    </row>
    <row r="171" spans="5:5" x14ac:dyDescent="0.25">
      <c r="E171"/>
    </row>
    <row r="172" spans="5:5" x14ac:dyDescent="0.25">
      <c r="E172"/>
    </row>
    <row r="173" spans="5:5" x14ac:dyDescent="0.25">
      <c r="E173"/>
    </row>
    <row r="174" spans="5:5" x14ac:dyDescent="0.25">
      <c r="E174"/>
    </row>
    <row r="175" spans="5:5" x14ac:dyDescent="0.25">
      <c r="E175"/>
    </row>
    <row r="176" spans="5:5" x14ac:dyDescent="0.25">
      <c r="E176"/>
    </row>
    <row r="177" spans="5:5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  <row r="183" spans="5:5" x14ac:dyDescent="0.25">
      <c r="E183"/>
    </row>
    <row r="184" spans="5:5" x14ac:dyDescent="0.25">
      <c r="E184"/>
    </row>
    <row r="185" spans="5:5" x14ac:dyDescent="0.25">
      <c r="E185"/>
    </row>
    <row r="186" spans="5:5" x14ac:dyDescent="0.25">
      <c r="E186"/>
    </row>
    <row r="187" spans="5:5" x14ac:dyDescent="0.25">
      <c r="E187"/>
    </row>
    <row r="188" spans="5:5" x14ac:dyDescent="0.25">
      <c r="E188"/>
    </row>
    <row r="189" spans="5:5" x14ac:dyDescent="0.25">
      <c r="E189"/>
    </row>
    <row r="190" spans="5:5" x14ac:dyDescent="0.25">
      <c r="E190"/>
    </row>
    <row r="191" spans="5:5" x14ac:dyDescent="0.25">
      <c r="E191"/>
    </row>
    <row r="192" spans="5:5" x14ac:dyDescent="0.25">
      <c r="E192"/>
    </row>
    <row r="193" spans="5:5" x14ac:dyDescent="0.25">
      <c r="E193"/>
    </row>
    <row r="194" spans="5:5" x14ac:dyDescent="0.25">
      <c r="E194"/>
    </row>
    <row r="195" spans="5:5" x14ac:dyDescent="0.25">
      <c r="E195"/>
    </row>
    <row r="196" spans="5:5" x14ac:dyDescent="0.25">
      <c r="E196"/>
    </row>
    <row r="197" spans="5:5" x14ac:dyDescent="0.25">
      <c r="E197"/>
    </row>
    <row r="198" spans="5:5" x14ac:dyDescent="0.25">
      <c r="E198"/>
    </row>
    <row r="199" spans="5:5" x14ac:dyDescent="0.25">
      <c r="E199"/>
    </row>
    <row r="200" spans="5:5" x14ac:dyDescent="0.25">
      <c r="E200"/>
    </row>
    <row r="201" spans="5:5" x14ac:dyDescent="0.25">
      <c r="E201"/>
    </row>
    <row r="202" spans="5:5" x14ac:dyDescent="0.25">
      <c r="E202"/>
    </row>
    <row r="203" spans="5:5" x14ac:dyDescent="0.25">
      <c r="E203"/>
    </row>
    <row r="204" spans="5:5" x14ac:dyDescent="0.25">
      <c r="E204"/>
    </row>
    <row r="205" spans="5:5" x14ac:dyDescent="0.25">
      <c r="E205"/>
    </row>
    <row r="206" spans="5:5" x14ac:dyDescent="0.25">
      <c r="E206"/>
    </row>
    <row r="207" spans="5:5" x14ac:dyDescent="0.25">
      <c r="E207"/>
    </row>
    <row r="208" spans="5:5" x14ac:dyDescent="0.25">
      <c r="E208"/>
    </row>
    <row r="209" spans="5:5" x14ac:dyDescent="0.25">
      <c r="E209"/>
    </row>
    <row r="210" spans="5:5" x14ac:dyDescent="0.25">
      <c r="E210"/>
    </row>
    <row r="211" spans="5:5" x14ac:dyDescent="0.25">
      <c r="E211"/>
    </row>
    <row r="212" spans="5:5" x14ac:dyDescent="0.25">
      <c r="E212"/>
    </row>
    <row r="213" spans="5:5" x14ac:dyDescent="0.25">
      <c r="E213"/>
    </row>
    <row r="214" spans="5:5" x14ac:dyDescent="0.25">
      <c r="E214"/>
    </row>
    <row r="215" spans="5:5" x14ac:dyDescent="0.25">
      <c r="E215"/>
    </row>
    <row r="216" spans="5:5" x14ac:dyDescent="0.25">
      <c r="E216"/>
    </row>
    <row r="217" spans="5:5" x14ac:dyDescent="0.25">
      <c r="E217"/>
    </row>
    <row r="218" spans="5:5" x14ac:dyDescent="0.25">
      <c r="E218"/>
    </row>
    <row r="219" spans="5:5" x14ac:dyDescent="0.25">
      <c r="E219"/>
    </row>
    <row r="220" spans="5:5" x14ac:dyDescent="0.25">
      <c r="E220"/>
    </row>
    <row r="221" spans="5:5" x14ac:dyDescent="0.25">
      <c r="E221"/>
    </row>
    <row r="222" spans="5:5" x14ac:dyDescent="0.25">
      <c r="E222"/>
    </row>
    <row r="223" spans="5:5" x14ac:dyDescent="0.25">
      <c r="E223"/>
    </row>
    <row r="224" spans="5:5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  <row r="228" spans="5:5" x14ac:dyDescent="0.25">
      <c r="E228"/>
    </row>
    <row r="229" spans="5:5" x14ac:dyDescent="0.25">
      <c r="E229"/>
    </row>
    <row r="230" spans="5:5" x14ac:dyDescent="0.25">
      <c r="E230"/>
    </row>
    <row r="231" spans="5:5" x14ac:dyDescent="0.25">
      <c r="E231"/>
    </row>
    <row r="232" spans="5:5" x14ac:dyDescent="0.25">
      <c r="E232"/>
    </row>
    <row r="233" spans="5:5" x14ac:dyDescent="0.25">
      <c r="E233"/>
    </row>
    <row r="234" spans="5:5" x14ac:dyDescent="0.25">
      <c r="E234"/>
    </row>
    <row r="235" spans="5:5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x14ac:dyDescent="0.25">
      <c r="E246"/>
    </row>
    <row r="247" spans="5:5" x14ac:dyDescent="0.25">
      <c r="E247"/>
    </row>
    <row r="248" spans="5:5" x14ac:dyDescent="0.25">
      <c r="E248"/>
    </row>
    <row r="249" spans="5:5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x14ac:dyDescent="0.25">
      <c r="E260"/>
    </row>
    <row r="261" spans="5:5" x14ac:dyDescent="0.25">
      <c r="E261"/>
    </row>
    <row r="262" spans="5:5" x14ac:dyDescent="0.25">
      <c r="E262"/>
    </row>
    <row r="263" spans="5:5" x14ac:dyDescent="0.25">
      <c r="E263"/>
    </row>
    <row r="264" spans="5:5" x14ac:dyDescent="0.25">
      <c r="E264"/>
    </row>
    <row r="265" spans="5:5" x14ac:dyDescent="0.25">
      <c r="E265"/>
    </row>
    <row r="266" spans="5:5" x14ac:dyDescent="0.25">
      <c r="E266"/>
    </row>
    <row r="267" spans="5:5" x14ac:dyDescent="0.25">
      <c r="E267"/>
    </row>
    <row r="268" spans="5:5" x14ac:dyDescent="0.25">
      <c r="E268"/>
    </row>
    <row r="269" spans="5:5" x14ac:dyDescent="0.25">
      <c r="E269"/>
    </row>
    <row r="270" spans="5:5" x14ac:dyDescent="0.25">
      <c r="E270"/>
    </row>
    <row r="271" spans="5:5" x14ac:dyDescent="0.25">
      <c r="E271"/>
    </row>
    <row r="272" spans="5:5" x14ac:dyDescent="0.25">
      <c r="E272"/>
    </row>
    <row r="273" spans="5:5" x14ac:dyDescent="0.25">
      <c r="E273"/>
    </row>
    <row r="274" spans="5:5" x14ac:dyDescent="0.25">
      <c r="E274"/>
    </row>
    <row r="275" spans="5:5" x14ac:dyDescent="0.25">
      <c r="E275"/>
    </row>
    <row r="276" spans="5:5" x14ac:dyDescent="0.25">
      <c r="E276"/>
    </row>
    <row r="277" spans="5:5" x14ac:dyDescent="0.25">
      <c r="E277"/>
    </row>
    <row r="278" spans="5:5" x14ac:dyDescent="0.25">
      <c r="E278"/>
    </row>
    <row r="279" spans="5:5" x14ac:dyDescent="0.25">
      <c r="E279"/>
    </row>
    <row r="280" spans="5:5" x14ac:dyDescent="0.25">
      <c r="E280"/>
    </row>
    <row r="281" spans="5:5" x14ac:dyDescent="0.25">
      <c r="E281"/>
    </row>
    <row r="282" spans="5:5" x14ac:dyDescent="0.25">
      <c r="E282"/>
    </row>
    <row r="283" spans="5:5" x14ac:dyDescent="0.25">
      <c r="E283"/>
    </row>
    <row r="284" spans="5:5" x14ac:dyDescent="0.25">
      <c r="E284"/>
    </row>
    <row r="285" spans="5:5" x14ac:dyDescent="0.25">
      <c r="E285"/>
    </row>
    <row r="286" spans="5:5" x14ac:dyDescent="0.25">
      <c r="E286"/>
    </row>
    <row r="287" spans="5:5" x14ac:dyDescent="0.25">
      <c r="E287"/>
    </row>
    <row r="288" spans="5:5" x14ac:dyDescent="0.25">
      <c r="E288"/>
    </row>
    <row r="289" spans="5:5" x14ac:dyDescent="0.25">
      <c r="E289"/>
    </row>
    <row r="290" spans="5:5" x14ac:dyDescent="0.25">
      <c r="E290"/>
    </row>
    <row r="291" spans="5:5" x14ac:dyDescent="0.25">
      <c r="E291"/>
    </row>
    <row r="292" spans="5:5" x14ac:dyDescent="0.25">
      <c r="E292"/>
    </row>
    <row r="293" spans="5:5" x14ac:dyDescent="0.25">
      <c r="E293"/>
    </row>
    <row r="294" spans="5:5" x14ac:dyDescent="0.25">
      <c r="E294"/>
    </row>
    <row r="295" spans="5:5" x14ac:dyDescent="0.25">
      <c r="E295"/>
    </row>
    <row r="296" spans="5:5" x14ac:dyDescent="0.25">
      <c r="E296"/>
    </row>
    <row r="297" spans="5:5" x14ac:dyDescent="0.25">
      <c r="E297"/>
    </row>
    <row r="298" spans="5:5" x14ac:dyDescent="0.25">
      <c r="E298"/>
    </row>
    <row r="299" spans="5:5" x14ac:dyDescent="0.25">
      <c r="E299"/>
    </row>
    <row r="300" spans="5:5" x14ac:dyDescent="0.25">
      <c r="E300"/>
    </row>
    <row r="301" spans="5:5" x14ac:dyDescent="0.25">
      <c r="E301"/>
    </row>
    <row r="302" spans="5:5" x14ac:dyDescent="0.25">
      <c r="E302"/>
    </row>
    <row r="303" spans="5:5" x14ac:dyDescent="0.25">
      <c r="E303"/>
    </row>
    <row r="304" spans="5:5" x14ac:dyDescent="0.25">
      <c r="E304"/>
    </row>
    <row r="305" spans="5:5" x14ac:dyDescent="0.25">
      <c r="E305"/>
    </row>
    <row r="306" spans="5:5" x14ac:dyDescent="0.25">
      <c r="E306"/>
    </row>
    <row r="307" spans="5:5" x14ac:dyDescent="0.25">
      <c r="E307"/>
    </row>
    <row r="308" spans="5:5" x14ac:dyDescent="0.25">
      <c r="E308"/>
    </row>
    <row r="309" spans="5:5" x14ac:dyDescent="0.25">
      <c r="E309"/>
    </row>
    <row r="310" spans="5:5" x14ac:dyDescent="0.25">
      <c r="E310"/>
    </row>
    <row r="311" spans="5:5" x14ac:dyDescent="0.25">
      <c r="E311"/>
    </row>
    <row r="312" spans="5:5" x14ac:dyDescent="0.25">
      <c r="E312"/>
    </row>
    <row r="313" spans="5:5" x14ac:dyDescent="0.25">
      <c r="E313"/>
    </row>
    <row r="314" spans="5:5" x14ac:dyDescent="0.25">
      <c r="E314"/>
    </row>
    <row r="315" spans="5:5" x14ac:dyDescent="0.25">
      <c r="E315"/>
    </row>
    <row r="316" spans="5:5" x14ac:dyDescent="0.25">
      <c r="E316"/>
    </row>
    <row r="317" spans="5:5" x14ac:dyDescent="0.25">
      <c r="E317"/>
    </row>
    <row r="318" spans="5:5" x14ac:dyDescent="0.25">
      <c r="E318"/>
    </row>
    <row r="319" spans="5:5" x14ac:dyDescent="0.25">
      <c r="E319"/>
    </row>
    <row r="320" spans="5:5" x14ac:dyDescent="0.25">
      <c r="E320"/>
    </row>
    <row r="321" spans="5:5" x14ac:dyDescent="0.25">
      <c r="E321"/>
    </row>
    <row r="322" spans="5:5" x14ac:dyDescent="0.25">
      <c r="E322"/>
    </row>
    <row r="323" spans="5:5" x14ac:dyDescent="0.25">
      <c r="E323"/>
    </row>
    <row r="324" spans="5:5" x14ac:dyDescent="0.25">
      <c r="E324"/>
    </row>
    <row r="325" spans="5:5" x14ac:dyDescent="0.25">
      <c r="E325"/>
    </row>
    <row r="326" spans="5:5" x14ac:dyDescent="0.25">
      <c r="E326"/>
    </row>
    <row r="327" spans="5:5" x14ac:dyDescent="0.25">
      <c r="E327"/>
    </row>
    <row r="328" spans="5:5" x14ac:dyDescent="0.25">
      <c r="E328"/>
    </row>
    <row r="329" spans="5:5" x14ac:dyDescent="0.25">
      <c r="E329"/>
    </row>
    <row r="330" spans="5:5" x14ac:dyDescent="0.25">
      <c r="E330"/>
    </row>
    <row r="331" spans="5:5" x14ac:dyDescent="0.25">
      <c r="E331"/>
    </row>
    <row r="332" spans="5:5" x14ac:dyDescent="0.25">
      <c r="E332"/>
    </row>
    <row r="333" spans="5:5" x14ac:dyDescent="0.25">
      <c r="E333"/>
    </row>
    <row r="334" spans="5:5" x14ac:dyDescent="0.25">
      <c r="E334"/>
    </row>
    <row r="335" spans="5:5" x14ac:dyDescent="0.25">
      <c r="E335"/>
    </row>
    <row r="336" spans="5:5" x14ac:dyDescent="0.25">
      <c r="E336"/>
    </row>
    <row r="337" spans="5:5" x14ac:dyDescent="0.25">
      <c r="E337"/>
    </row>
    <row r="338" spans="5:5" x14ac:dyDescent="0.25">
      <c r="E338"/>
    </row>
    <row r="339" spans="5:5" x14ac:dyDescent="0.25">
      <c r="E339"/>
    </row>
    <row r="340" spans="5:5" x14ac:dyDescent="0.25">
      <c r="E340"/>
    </row>
    <row r="341" spans="5:5" x14ac:dyDescent="0.25">
      <c r="E341"/>
    </row>
    <row r="342" spans="5:5" x14ac:dyDescent="0.25">
      <c r="E342"/>
    </row>
    <row r="343" spans="5:5" x14ac:dyDescent="0.25">
      <c r="E343"/>
    </row>
    <row r="344" spans="5:5" x14ac:dyDescent="0.25">
      <c r="E344"/>
    </row>
    <row r="345" spans="5:5" x14ac:dyDescent="0.25">
      <c r="E345"/>
    </row>
    <row r="346" spans="5:5" x14ac:dyDescent="0.25">
      <c r="E346"/>
    </row>
    <row r="347" spans="5:5" x14ac:dyDescent="0.25">
      <c r="E347"/>
    </row>
    <row r="348" spans="5:5" x14ac:dyDescent="0.25">
      <c r="E348"/>
    </row>
    <row r="349" spans="5:5" x14ac:dyDescent="0.25">
      <c r="E349"/>
    </row>
    <row r="350" spans="5:5" x14ac:dyDescent="0.25">
      <c r="E350"/>
    </row>
    <row r="351" spans="5:5" x14ac:dyDescent="0.25">
      <c r="E351"/>
    </row>
    <row r="352" spans="5:5" x14ac:dyDescent="0.25">
      <c r="E352"/>
    </row>
    <row r="353" spans="5:5" x14ac:dyDescent="0.25">
      <c r="E353"/>
    </row>
    <row r="354" spans="5:5" x14ac:dyDescent="0.25">
      <c r="E354"/>
    </row>
    <row r="355" spans="5:5" x14ac:dyDescent="0.25">
      <c r="E355"/>
    </row>
    <row r="356" spans="5:5" x14ac:dyDescent="0.25">
      <c r="E356"/>
    </row>
    <row r="357" spans="5:5" x14ac:dyDescent="0.25">
      <c r="E357"/>
    </row>
    <row r="358" spans="5:5" x14ac:dyDescent="0.25">
      <c r="E358"/>
    </row>
    <row r="359" spans="5:5" x14ac:dyDescent="0.25">
      <c r="E359"/>
    </row>
    <row r="360" spans="5:5" x14ac:dyDescent="0.25">
      <c r="E360"/>
    </row>
    <row r="361" spans="5:5" x14ac:dyDescent="0.25">
      <c r="E361"/>
    </row>
    <row r="362" spans="5:5" x14ac:dyDescent="0.25">
      <c r="E362"/>
    </row>
    <row r="363" spans="5:5" x14ac:dyDescent="0.25">
      <c r="E363"/>
    </row>
    <row r="364" spans="5:5" x14ac:dyDescent="0.25">
      <c r="E364"/>
    </row>
    <row r="365" spans="5:5" x14ac:dyDescent="0.25">
      <c r="E365"/>
    </row>
    <row r="366" spans="5:5" x14ac:dyDescent="0.25">
      <c r="E366"/>
    </row>
    <row r="367" spans="5:5" x14ac:dyDescent="0.25">
      <c r="E367"/>
    </row>
    <row r="368" spans="5:5" x14ac:dyDescent="0.25">
      <c r="E368"/>
    </row>
    <row r="369" spans="5:5" x14ac:dyDescent="0.25">
      <c r="E369"/>
    </row>
    <row r="370" spans="5:5" x14ac:dyDescent="0.25">
      <c r="E370"/>
    </row>
    <row r="371" spans="5:5" x14ac:dyDescent="0.25">
      <c r="E371"/>
    </row>
    <row r="372" spans="5:5" x14ac:dyDescent="0.25">
      <c r="E372"/>
    </row>
    <row r="373" spans="5:5" x14ac:dyDescent="0.25">
      <c r="E373"/>
    </row>
    <row r="374" spans="5:5" x14ac:dyDescent="0.25">
      <c r="E374"/>
    </row>
    <row r="375" spans="5:5" x14ac:dyDescent="0.25">
      <c r="E375"/>
    </row>
    <row r="376" spans="5:5" x14ac:dyDescent="0.25">
      <c r="E376"/>
    </row>
    <row r="377" spans="5:5" x14ac:dyDescent="0.25">
      <c r="E377"/>
    </row>
    <row r="378" spans="5:5" x14ac:dyDescent="0.25">
      <c r="E378"/>
    </row>
    <row r="379" spans="5:5" x14ac:dyDescent="0.25">
      <c r="E379"/>
    </row>
    <row r="380" spans="5:5" x14ac:dyDescent="0.25">
      <c r="E380"/>
    </row>
    <row r="381" spans="5:5" x14ac:dyDescent="0.25">
      <c r="E381"/>
    </row>
    <row r="382" spans="5:5" x14ac:dyDescent="0.25">
      <c r="E382"/>
    </row>
    <row r="383" spans="5:5" x14ac:dyDescent="0.25">
      <c r="E383"/>
    </row>
    <row r="384" spans="5:5" x14ac:dyDescent="0.25">
      <c r="E384"/>
    </row>
    <row r="385" spans="5:5" x14ac:dyDescent="0.25">
      <c r="E385"/>
    </row>
    <row r="386" spans="5:5" x14ac:dyDescent="0.25">
      <c r="E386"/>
    </row>
    <row r="387" spans="5:5" x14ac:dyDescent="0.25">
      <c r="E387"/>
    </row>
    <row r="388" spans="5:5" x14ac:dyDescent="0.25">
      <c r="E388"/>
    </row>
    <row r="389" spans="5:5" x14ac:dyDescent="0.25">
      <c r="E389"/>
    </row>
    <row r="390" spans="5:5" x14ac:dyDescent="0.25">
      <c r="E390"/>
    </row>
    <row r="391" spans="5:5" x14ac:dyDescent="0.25">
      <c r="E391"/>
    </row>
    <row r="392" spans="5:5" x14ac:dyDescent="0.25">
      <c r="E392"/>
    </row>
    <row r="393" spans="5:5" x14ac:dyDescent="0.25">
      <c r="E393"/>
    </row>
    <row r="394" spans="5:5" x14ac:dyDescent="0.25">
      <c r="E394"/>
    </row>
    <row r="395" spans="5:5" x14ac:dyDescent="0.25">
      <c r="E395"/>
    </row>
    <row r="396" spans="5:5" x14ac:dyDescent="0.25">
      <c r="E396"/>
    </row>
    <row r="397" spans="5:5" x14ac:dyDescent="0.25">
      <c r="E397"/>
    </row>
    <row r="398" spans="5:5" x14ac:dyDescent="0.25">
      <c r="E398"/>
    </row>
    <row r="399" spans="5:5" x14ac:dyDescent="0.25">
      <c r="E399"/>
    </row>
    <row r="400" spans="5:5" x14ac:dyDescent="0.25">
      <c r="E400"/>
    </row>
    <row r="401" spans="5:5" x14ac:dyDescent="0.25">
      <c r="E401"/>
    </row>
    <row r="402" spans="5:5" x14ac:dyDescent="0.25">
      <c r="E402"/>
    </row>
    <row r="403" spans="5:5" x14ac:dyDescent="0.25">
      <c r="E403"/>
    </row>
    <row r="404" spans="5:5" x14ac:dyDescent="0.25">
      <c r="E404"/>
    </row>
    <row r="405" spans="5:5" x14ac:dyDescent="0.25">
      <c r="E405"/>
    </row>
    <row r="406" spans="5:5" x14ac:dyDescent="0.25">
      <c r="E406"/>
    </row>
    <row r="407" spans="5:5" x14ac:dyDescent="0.25">
      <c r="E407"/>
    </row>
    <row r="408" spans="5:5" x14ac:dyDescent="0.25">
      <c r="E408"/>
    </row>
    <row r="409" spans="5:5" x14ac:dyDescent="0.25">
      <c r="E409"/>
    </row>
    <row r="410" spans="5:5" x14ac:dyDescent="0.25">
      <c r="E410"/>
    </row>
    <row r="411" spans="5:5" x14ac:dyDescent="0.25">
      <c r="E411"/>
    </row>
    <row r="412" spans="5:5" x14ac:dyDescent="0.25">
      <c r="E412"/>
    </row>
    <row r="413" spans="5:5" x14ac:dyDescent="0.25">
      <c r="E413"/>
    </row>
    <row r="414" spans="5:5" x14ac:dyDescent="0.25">
      <c r="E414"/>
    </row>
    <row r="415" spans="5:5" x14ac:dyDescent="0.25">
      <c r="E415"/>
    </row>
    <row r="416" spans="5:5" x14ac:dyDescent="0.25">
      <c r="E416"/>
    </row>
    <row r="417" spans="5:5" x14ac:dyDescent="0.25">
      <c r="E417"/>
    </row>
    <row r="418" spans="5:5" x14ac:dyDescent="0.25">
      <c r="E418"/>
    </row>
    <row r="419" spans="5:5" x14ac:dyDescent="0.25">
      <c r="E419"/>
    </row>
    <row r="420" spans="5:5" x14ac:dyDescent="0.25">
      <c r="E420"/>
    </row>
    <row r="421" spans="5:5" x14ac:dyDescent="0.25">
      <c r="E421"/>
    </row>
    <row r="422" spans="5:5" x14ac:dyDescent="0.25">
      <c r="E422"/>
    </row>
    <row r="423" spans="5:5" x14ac:dyDescent="0.25">
      <c r="E423"/>
    </row>
    <row r="424" spans="5:5" x14ac:dyDescent="0.25">
      <c r="E424"/>
    </row>
    <row r="425" spans="5:5" x14ac:dyDescent="0.25">
      <c r="E425"/>
    </row>
    <row r="426" spans="5:5" x14ac:dyDescent="0.25">
      <c r="E426"/>
    </row>
    <row r="427" spans="5:5" x14ac:dyDescent="0.25">
      <c r="E427"/>
    </row>
    <row r="428" spans="5:5" x14ac:dyDescent="0.25">
      <c r="E428"/>
    </row>
    <row r="429" spans="5:5" x14ac:dyDescent="0.25">
      <c r="E429"/>
    </row>
    <row r="430" spans="5:5" x14ac:dyDescent="0.25">
      <c r="E430"/>
    </row>
    <row r="431" spans="5:5" x14ac:dyDescent="0.25">
      <c r="E431"/>
    </row>
    <row r="432" spans="5:5" x14ac:dyDescent="0.25">
      <c r="E432"/>
    </row>
    <row r="433" spans="5:5" x14ac:dyDescent="0.25">
      <c r="E433"/>
    </row>
    <row r="434" spans="5:5" x14ac:dyDescent="0.25">
      <c r="E434"/>
    </row>
    <row r="435" spans="5:5" x14ac:dyDescent="0.25">
      <c r="E435"/>
    </row>
    <row r="436" spans="5:5" x14ac:dyDescent="0.25">
      <c r="E436"/>
    </row>
    <row r="437" spans="5:5" x14ac:dyDescent="0.25">
      <c r="E437"/>
    </row>
    <row r="438" spans="5:5" x14ac:dyDescent="0.25">
      <c r="E438"/>
    </row>
    <row r="439" spans="5:5" x14ac:dyDescent="0.25">
      <c r="E439"/>
    </row>
    <row r="440" spans="5:5" x14ac:dyDescent="0.25">
      <c r="E440"/>
    </row>
    <row r="441" spans="5:5" x14ac:dyDescent="0.25">
      <c r="E441"/>
    </row>
    <row r="442" spans="5:5" x14ac:dyDescent="0.25">
      <c r="E442"/>
    </row>
    <row r="443" spans="5:5" x14ac:dyDescent="0.25">
      <c r="E443"/>
    </row>
    <row r="444" spans="5:5" x14ac:dyDescent="0.25">
      <c r="E444"/>
    </row>
    <row r="445" spans="5:5" x14ac:dyDescent="0.25">
      <c r="E445"/>
    </row>
    <row r="446" spans="5:5" x14ac:dyDescent="0.25">
      <c r="E446"/>
    </row>
    <row r="447" spans="5:5" x14ac:dyDescent="0.25">
      <c r="E447"/>
    </row>
    <row r="448" spans="5:5" x14ac:dyDescent="0.25">
      <c r="E448"/>
    </row>
    <row r="449" spans="5:5" x14ac:dyDescent="0.25">
      <c r="E449"/>
    </row>
    <row r="450" spans="5:5" x14ac:dyDescent="0.25">
      <c r="E450"/>
    </row>
    <row r="451" spans="5:5" x14ac:dyDescent="0.25">
      <c r="E451"/>
    </row>
    <row r="452" spans="5:5" x14ac:dyDescent="0.25">
      <c r="E452"/>
    </row>
    <row r="453" spans="5:5" x14ac:dyDescent="0.25">
      <c r="E453"/>
    </row>
    <row r="454" spans="5:5" x14ac:dyDescent="0.25">
      <c r="E454"/>
    </row>
    <row r="455" spans="5:5" x14ac:dyDescent="0.25">
      <c r="E455"/>
    </row>
    <row r="456" spans="5:5" x14ac:dyDescent="0.25">
      <c r="E456"/>
    </row>
    <row r="457" spans="5:5" x14ac:dyDescent="0.25">
      <c r="E457"/>
    </row>
    <row r="458" spans="5:5" x14ac:dyDescent="0.25">
      <c r="E458"/>
    </row>
    <row r="459" spans="5:5" x14ac:dyDescent="0.25">
      <c r="E459"/>
    </row>
    <row r="460" spans="5:5" x14ac:dyDescent="0.25">
      <c r="E460"/>
    </row>
    <row r="461" spans="5:5" x14ac:dyDescent="0.25">
      <c r="E461"/>
    </row>
    <row r="462" spans="5:5" x14ac:dyDescent="0.25">
      <c r="E462"/>
    </row>
    <row r="463" spans="5:5" x14ac:dyDescent="0.25">
      <c r="E463"/>
    </row>
    <row r="464" spans="5:5" x14ac:dyDescent="0.25">
      <c r="E464"/>
    </row>
    <row r="465" spans="5:5" x14ac:dyDescent="0.25">
      <c r="E465"/>
    </row>
    <row r="466" spans="5:5" x14ac:dyDescent="0.25">
      <c r="E466"/>
    </row>
    <row r="467" spans="5:5" x14ac:dyDescent="0.25">
      <c r="E467"/>
    </row>
    <row r="468" spans="5:5" x14ac:dyDescent="0.25">
      <c r="E468"/>
    </row>
    <row r="469" spans="5:5" x14ac:dyDescent="0.25">
      <c r="E469"/>
    </row>
    <row r="470" spans="5:5" x14ac:dyDescent="0.25">
      <c r="E470"/>
    </row>
    <row r="471" spans="5:5" x14ac:dyDescent="0.25">
      <c r="E471"/>
    </row>
    <row r="472" spans="5:5" x14ac:dyDescent="0.25">
      <c r="E472"/>
    </row>
    <row r="473" spans="5:5" x14ac:dyDescent="0.25">
      <c r="E473"/>
    </row>
    <row r="474" spans="5:5" x14ac:dyDescent="0.25">
      <c r="E474"/>
    </row>
    <row r="475" spans="5:5" x14ac:dyDescent="0.25">
      <c r="E475"/>
    </row>
    <row r="476" spans="5:5" x14ac:dyDescent="0.25">
      <c r="E476"/>
    </row>
    <row r="477" spans="5:5" x14ac:dyDescent="0.25">
      <c r="E477"/>
    </row>
    <row r="478" spans="5:5" x14ac:dyDescent="0.25">
      <c r="E478"/>
    </row>
    <row r="479" spans="5:5" x14ac:dyDescent="0.25">
      <c r="E479"/>
    </row>
    <row r="480" spans="5:5" x14ac:dyDescent="0.25">
      <c r="E480"/>
    </row>
    <row r="481" spans="5:5" x14ac:dyDescent="0.25">
      <c r="E481"/>
    </row>
    <row r="482" spans="5:5" x14ac:dyDescent="0.25">
      <c r="E482"/>
    </row>
    <row r="483" spans="5:5" x14ac:dyDescent="0.25">
      <c r="E483"/>
    </row>
    <row r="484" spans="5:5" x14ac:dyDescent="0.25">
      <c r="E484"/>
    </row>
    <row r="485" spans="5:5" x14ac:dyDescent="0.25">
      <c r="E485"/>
    </row>
    <row r="486" spans="5:5" x14ac:dyDescent="0.25">
      <c r="E486"/>
    </row>
    <row r="487" spans="5:5" x14ac:dyDescent="0.25">
      <c r="E487"/>
    </row>
    <row r="488" spans="5:5" x14ac:dyDescent="0.25">
      <c r="E488"/>
    </row>
    <row r="489" spans="5:5" x14ac:dyDescent="0.25">
      <c r="E489"/>
    </row>
    <row r="490" spans="5:5" x14ac:dyDescent="0.25">
      <c r="E490"/>
    </row>
    <row r="491" spans="5:5" x14ac:dyDescent="0.25">
      <c r="E491"/>
    </row>
    <row r="492" spans="5:5" x14ac:dyDescent="0.25">
      <c r="E492"/>
    </row>
    <row r="493" spans="5:5" x14ac:dyDescent="0.25">
      <c r="E493"/>
    </row>
    <row r="494" spans="5:5" x14ac:dyDescent="0.25">
      <c r="E494"/>
    </row>
    <row r="495" spans="5:5" x14ac:dyDescent="0.25">
      <c r="E495"/>
    </row>
    <row r="496" spans="5:5" x14ac:dyDescent="0.25">
      <c r="E496"/>
    </row>
    <row r="497" spans="5:5" x14ac:dyDescent="0.25">
      <c r="E497"/>
    </row>
    <row r="498" spans="5:5" x14ac:dyDescent="0.25">
      <c r="E498"/>
    </row>
    <row r="499" spans="5:5" x14ac:dyDescent="0.25">
      <c r="E499"/>
    </row>
    <row r="500" spans="5:5" x14ac:dyDescent="0.25">
      <c r="E500"/>
    </row>
    <row r="501" spans="5:5" x14ac:dyDescent="0.25">
      <c r="E501"/>
    </row>
    <row r="502" spans="5:5" x14ac:dyDescent="0.25">
      <c r="E502"/>
    </row>
    <row r="503" spans="5:5" x14ac:dyDescent="0.25">
      <c r="E503"/>
    </row>
    <row r="504" spans="5:5" x14ac:dyDescent="0.25">
      <c r="E504"/>
    </row>
    <row r="505" spans="5:5" x14ac:dyDescent="0.25">
      <c r="E505"/>
    </row>
    <row r="506" spans="5:5" x14ac:dyDescent="0.25">
      <c r="E506"/>
    </row>
    <row r="507" spans="5:5" x14ac:dyDescent="0.25">
      <c r="E507"/>
    </row>
    <row r="508" spans="5:5" x14ac:dyDescent="0.25">
      <c r="E508"/>
    </row>
    <row r="509" spans="5:5" x14ac:dyDescent="0.25">
      <c r="E509"/>
    </row>
    <row r="510" spans="5:5" x14ac:dyDescent="0.25">
      <c r="E510"/>
    </row>
    <row r="511" spans="5:5" x14ac:dyDescent="0.25">
      <c r="E511"/>
    </row>
    <row r="512" spans="5:5" x14ac:dyDescent="0.25">
      <c r="E512"/>
    </row>
    <row r="513" spans="5:5" x14ac:dyDescent="0.25">
      <c r="E513"/>
    </row>
    <row r="514" spans="5:5" x14ac:dyDescent="0.25">
      <c r="E514"/>
    </row>
    <row r="515" spans="5:5" x14ac:dyDescent="0.25">
      <c r="E515"/>
    </row>
    <row r="516" spans="5:5" x14ac:dyDescent="0.25">
      <c r="E516"/>
    </row>
    <row r="517" spans="5:5" x14ac:dyDescent="0.25">
      <c r="E517"/>
    </row>
    <row r="518" spans="5:5" x14ac:dyDescent="0.25">
      <c r="E518"/>
    </row>
    <row r="519" spans="5:5" x14ac:dyDescent="0.25">
      <c r="E519"/>
    </row>
    <row r="520" spans="5:5" x14ac:dyDescent="0.25">
      <c r="E520"/>
    </row>
    <row r="521" spans="5:5" x14ac:dyDescent="0.25">
      <c r="E521"/>
    </row>
    <row r="522" spans="5:5" x14ac:dyDescent="0.25">
      <c r="E522"/>
    </row>
    <row r="523" spans="5:5" x14ac:dyDescent="0.25">
      <c r="E523"/>
    </row>
    <row r="524" spans="5:5" x14ac:dyDescent="0.25">
      <c r="E524"/>
    </row>
    <row r="525" spans="5:5" x14ac:dyDescent="0.25">
      <c r="E525"/>
    </row>
    <row r="526" spans="5:5" x14ac:dyDescent="0.25">
      <c r="E526"/>
    </row>
    <row r="527" spans="5:5" x14ac:dyDescent="0.25">
      <c r="E527"/>
    </row>
    <row r="528" spans="5:5" x14ac:dyDescent="0.25">
      <c r="E528"/>
    </row>
    <row r="529" spans="5:5" x14ac:dyDescent="0.25">
      <c r="E529"/>
    </row>
    <row r="530" spans="5:5" x14ac:dyDescent="0.25">
      <c r="E530"/>
    </row>
    <row r="531" spans="5:5" x14ac:dyDescent="0.25">
      <c r="E531"/>
    </row>
    <row r="532" spans="5:5" x14ac:dyDescent="0.25">
      <c r="E532"/>
    </row>
    <row r="533" spans="5:5" x14ac:dyDescent="0.25">
      <c r="E533"/>
    </row>
    <row r="534" spans="5:5" x14ac:dyDescent="0.25">
      <c r="E534"/>
    </row>
    <row r="535" spans="5:5" x14ac:dyDescent="0.25">
      <c r="E535"/>
    </row>
    <row r="536" spans="5:5" x14ac:dyDescent="0.25">
      <c r="E536"/>
    </row>
    <row r="537" spans="5:5" x14ac:dyDescent="0.25">
      <c r="E537"/>
    </row>
    <row r="538" spans="5:5" x14ac:dyDescent="0.25">
      <c r="E538"/>
    </row>
    <row r="539" spans="5:5" x14ac:dyDescent="0.25">
      <c r="E539"/>
    </row>
    <row r="540" spans="5:5" x14ac:dyDescent="0.25">
      <c r="E540"/>
    </row>
    <row r="541" spans="5:5" x14ac:dyDescent="0.25">
      <c r="E541"/>
    </row>
    <row r="542" spans="5:5" x14ac:dyDescent="0.25">
      <c r="E542"/>
    </row>
    <row r="543" spans="5:5" x14ac:dyDescent="0.25">
      <c r="E543"/>
    </row>
    <row r="544" spans="5:5" x14ac:dyDescent="0.25">
      <c r="E544"/>
    </row>
    <row r="545" spans="5:5" x14ac:dyDescent="0.25">
      <c r="E545"/>
    </row>
    <row r="546" spans="5:5" x14ac:dyDescent="0.25">
      <c r="E546"/>
    </row>
    <row r="547" spans="5:5" x14ac:dyDescent="0.25">
      <c r="E547"/>
    </row>
    <row r="548" spans="5:5" x14ac:dyDescent="0.25">
      <c r="E548"/>
    </row>
    <row r="549" spans="5:5" x14ac:dyDescent="0.25">
      <c r="E549"/>
    </row>
    <row r="550" spans="5:5" x14ac:dyDescent="0.25">
      <c r="E550"/>
    </row>
    <row r="551" spans="5:5" x14ac:dyDescent="0.25">
      <c r="E551"/>
    </row>
    <row r="552" spans="5:5" x14ac:dyDescent="0.25">
      <c r="E552"/>
    </row>
    <row r="553" spans="5:5" x14ac:dyDescent="0.25">
      <c r="E553"/>
    </row>
    <row r="554" spans="5:5" x14ac:dyDescent="0.25">
      <c r="E554"/>
    </row>
    <row r="555" spans="5:5" x14ac:dyDescent="0.25">
      <c r="E555"/>
    </row>
    <row r="556" spans="5:5" x14ac:dyDescent="0.25">
      <c r="E556"/>
    </row>
    <row r="557" spans="5:5" x14ac:dyDescent="0.25">
      <c r="E557"/>
    </row>
    <row r="558" spans="5:5" x14ac:dyDescent="0.25">
      <c r="E558"/>
    </row>
    <row r="559" spans="5:5" x14ac:dyDescent="0.25">
      <c r="E559"/>
    </row>
    <row r="560" spans="5:5" x14ac:dyDescent="0.25">
      <c r="E560"/>
    </row>
    <row r="561" spans="5:5" x14ac:dyDescent="0.25">
      <c r="E561"/>
    </row>
    <row r="562" spans="5:5" x14ac:dyDescent="0.25">
      <c r="E562"/>
    </row>
    <row r="563" spans="5:5" x14ac:dyDescent="0.25">
      <c r="E563"/>
    </row>
    <row r="564" spans="5:5" x14ac:dyDescent="0.25">
      <c r="E564"/>
    </row>
    <row r="565" spans="5:5" x14ac:dyDescent="0.25">
      <c r="E565"/>
    </row>
    <row r="566" spans="5:5" x14ac:dyDescent="0.25">
      <c r="E566"/>
    </row>
    <row r="567" spans="5:5" x14ac:dyDescent="0.25">
      <c r="E567"/>
    </row>
    <row r="568" spans="5:5" x14ac:dyDescent="0.25">
      <c r="E568"/>
    </row>
    <row r="569" spans="5:5" x14ac:dyDescent="0.25">
      <c r="E569"/>
    </row>
    <row r="570" spans="5:5" x14ac:dyDescent="0.25">
      <c r="E570"/>
    </row>
    <row r="571" spans="5:5" x14ac:dyDescent="0.25">
      <c r="E571"/>
    </row>
    <row r="572" spans="5:5" x14ac:dyDescent="0.25">
      <c r="E572"/>
    </row>
    <row r="573" spans="5:5" x14ac:dyDescent="0.25">
      <c r="E573"/>
    </row>
    <row r="574" spans="5:5" x14ac:dyDescent="0.25">
      <c r="E574"/>
    </row>
    <row r="575" spans="5:5" x14ac:dyDescent="0.25">
      <c r="E575"/>
    </row>
    <row r="576" spans="5:5" x14ac:dyDescent="0.25">
      <c r="E576"/>
    </row>
    <row r="577" spans="5:5" x14ac:dyDescent="0.25">
      <c r="E577"/>
    </row>
    <row r="578" spans="5:5" x14ac:dyDescent="0.25">
      <c r="E578"/>
    </row>
    <row r="579" spans="5:5" x14ac:dyDescent="0.25">
      <c r="E579"/>
    </row>
    <row r="580" spans="5:5" x14ac:dyDescent="0.25">
      <c r="E580"/>
    </row>
    <row r="581" spans="5:5" x14ac:dyDescent="0.25">
      <c r="E581"/>
    </row>
    <row r="582" spans="5:5" x14ac:dyDescent="0.25">
      <c r="E582"/>
    </row>
    <row r="583" spans="5:5" x14ac:dyDescent="0.25">
      <c r="E583"/>
    </row>
    <row r="584" spans="5:5" x14ac:dyDescent="0.25">
      <c r="E584"/>
    </row>
    <row r="585" spans="5:5" x14ac:dyDescent="0.25">
      <c r="E585"/>
    </row>
    <row r="586" spans="5:5" x14ac:dyDescent="0.25">
      <c r="E586"/>
    </row>
    <row r="587" spans="5:5" x14ac:dyDescent="0.25">
      <c r="E587"/>
    </row>
    <row r="588" spans="5:5" x14ac:dyDescent="0.25">
      <c r="E588"/>
    </row>
    <row r="589" spans="5:5" x14ac:dyDescent="0.25">
      <c r="E589"/>
    </row>
    <row r="590" spans="5:5" x14ac:dyDescent="0.25">
      <c r="E590"/>
    </row>
    <row r="591" spans="5:5" x14ac:dyDescent="0.25">
      <c r="E591"/>
    </row>
    <row r="592" spans="5:5" x14ac:dyDescent="0.25">
      <c r="E592"/>
    </row>
    <row r="593" spans="5:5" x14ac:dyDescent="0.25">
      <c r="E593"/>
    </row>
    <row r="594" spans="5:5" x14ac:dyDescent="0.25">
      <c r="E594"/>
    </row>
    <row r="595" spans="5:5" x14ac:dyDescent="0.25">
      <c r="E595"/>
    </row>
    <row r="596" spans="5:5" x14ac:dyDescent="0.25">
      <c r="E596"/>
    </row>
    <row r="597" spans="5:5" x14ac:dyDescent="0.25">
      <c r="E597"/>
    </row>
    <row r="598" spans="5:5" x14ac:dyDescent="0.25">
      <c r="E598"/>
    </row>
    <row r="599" spans="5:5" x14ac:dyDescent="0.25">
      <c r="E599"/>
    </row>
    <row r="600" spans="5:5" x14ac:dyDescent="0.25">
      <c r="E600"/>
    </row>
    <row r="601" spans="5:5" x14ac:dyDescent="0.25">
      <c r="E601"/>
    </row>
    <row r="602" spans="5:5" x14ac:dyDescent="0.25">
      <c r="E602"/>
    </row>
    <row r="603" spans="5:5" x14ac:dyDescent="0.25">
      <c r="E603"/>
    </row>
    <row r="604" spans="5:5" x14ac:dyDescent="0.25">
      <c r="E604"/>
    </row>
    <row r="605" spans="5:5" x14ac:dyDescent="0.25">
      <c r="E605"/>
    </row>
    <row r="606" spans="5:5" x14ac:dyDescent="0.25">
      <c r="E606"/>
    </row>
    <row r="607" spans="5:5" x14ac:dyDescent="0.25">
      <c r="E607"/>
    </row>
    <row r="608" spans="5:5" x14ac:dyDescent="0.25">
      <c r="E608"/>
    </row>
    <row r="609" spans="5:5" x14ac:dyDescent="0.25">
      <c r="E609"/>
    </row>
    <row r="610" spans="5:5" x14ac:dyDescent="0.25">
      <c r="E610"/>
    </row>
    <row r="611" spans="5:5" x14ac:dyDescent="0.25">
      <c r="E611"/>
    </row>
    <row r="612" spans="5:5" x14ac:dyDescent="0.25">
      <c r="E612"/>
    </row>
    <row r="613" spans="5:5" x14ac:dyDescent="0.25">
      <c r="E613"/>
    </row>
    <row r="614" spans="5:5" x14ac:dyDescent="0.25">
      <c r="E614"/>
    </row>
    <row r="615" spans="5:5" x14ac:dyDescent="0.25">
      <c r="E615"/>
    </row>
    <row r="616" spans="5:5" x14ac:dyDescent="0.25">
      <c r="E616"/>
    </row>
    <row r="617" spans="5:5" x14ac:dyDescent="0.25">
      <c r="E617"/>
    </row>
    <row r="618" spans="5:5" x14ac:dyDescent="0.25">
      <c r="E618"/>
    </row>
    <row r="619" spans="5:5" x14ac:dyDescent="0.25">
      <c r="E619"/>
    </row>
    <row r="620" spans="5:5" x14ac:dyDescent="0.25">
      <c r="E620"/>
    </row>
    <row r="621" spans="5:5" x14ac:dyDescent="0.25">
      <c r="E621"/>
    </row>
    <row r="622" spans="5:5" x14ac:dyDescent="0.25">
      <c r="E622"/>
    </row>
    <row r="623" spans="5:5" x14ac:dyDescent="0.25">
      <c r="E623"/>
    </row>
    <row r="624" spans="5:5" x14ac:dyDescent="0.25">
      <c r="E624"/>
    </row>
    <row r="625" spans="5:5" x14ac:dyDescent="0.25">
      <c r="E625"/>
    </row>
    <row r="626" spans="5:5" x14ac:dyDescent="0.25">
      <c r="E626"/>
    </row>
    <row r="627" spans="5:5" x14ac:dyDescent="0.25">
      <c r="E627"/>
    </row>
    <row r="628" spans="5:5" x14ac:dyDescent="0.25">
      <c r="E628"/>
    </row>
    <row r="629" spans="5:5" x14ac:dyDescent="0.25">
      <c r="E629"/>
    </row>
    <row r="630" spans="5:5" x14ac:dyDescent="0.25">
      <c r="E630"/>
    </row>
    <row r="631" spans="5:5" x14ac:dyDescent="0.25">
      <c r="E631"/>
    </row>
    <row r="632" spans="5:5" x14ac:dyDescent="0.25">
      <c r="E632"/>
    </row>
    <row r="633" spans="5:5" x14ac:dyDescent="0.25">
      <c r="E633"/>
    </row>
    <row r="634" spans="5:5" x14ac:dyDescent="0.25">
      <c r="E634"/>
    </row>
    <row r="635" spans="5:5" x14ac:dyDescent="0.25">
      <c r="E635"/>
    </row>
    <row r="636" spans="5:5" x14ac:dyDescent="0.25">
      <c r="E636"/>
    </row>
    <row r="637" spans="5:5" x14ac:dyDescent="0.25">
      <c r="E637"/>
    </row>
    <row r="638" spans="5:5" x14ac:dyDescent="0.25">
      <c r="E638"/>
    </row>
    <row r="639" spans="5:5" x14ac:dyDescent="0.25">
      <c r="E639"/>
    </row>
    <row r="640" spans="5:5" x14ac:dyDescent="0.25">
      <c r="E640"/>
    </row>
    <row r="641" spans="5:5" x14ac:dyDescent="0.25">
      <c r="E641"/>
    </row>
    <row r="642" spans="5:5" x14ac:dyDescent="0.25">
      <c r="E642"/>
    </row>
    <row r="643" spans="5:5" x14ac:dyDescent="0.25">
      <c r="E643"/>
    </row>
    <row r="644" spans="5:5" x14ac:dyDescent="0.25">
      <c r="E644"/>
    </row>
    <row r="645" spans="5:5" x14ac:dyDescent="0.25">
      <c r="E645"/>
    </row>
    <row r="646" spans="5:5" x14ac:dyDescent="0.25">
      <c r="E646"/>
    </row>
    <row r="647" spans="5:5" x14ac:dyDescent="0.25">
      <c r="E647"/>
    </row>
    <row r="648" spans="5:5" x14ac:dyDescent="0.25">
      <c r="E648"/>
    </row>
    <row r="649" spans="5:5" x14ac:dyDescent="0.25">
      <c r="E649"/>
    </row>
    <row r="650" spans="5:5" x14ac:dyDescent="0.25">
      <c r="E650"/>
    </row>
    <row r="651" spans="5:5" x14ac:dyDescent="0.25">
      <c r="E651"/>
    </row>
    <row r="652" spans="5:5" x14ac:dyDescent="0.25">
      <c r="E652"/>
    </row>
    <row r="653" spans="5:5" x14ac:dyDescent="0.25">
      <c r="E653"/>
    </row>
    <row r="654" spans="5:5" x14ac:dyDescent="0.25">
      <c r="E654"/>
    </row>
    <row r="655" spans="5:5" x14ac:dyDescent="0.25">
      <c r="E655"/>
    </row>
    <row r="656" spans="5:5" x14ac:dyDescent="0.25">
      <c r="E656"/>
    </row>
    <row r="657" spans="5:5" x14ac:dyDescent="0.25">
      <c r="E657"/>
    </row>
    <row r="658" spans="5:5" x14ac:dyDescent="0.25">
      <c r="E658"/>
    </row>
    <row r="659" spans="5:5" x14ac:dyDescent="0.25">
      <c r="E659"/>
    </row>
    <row r="660" spans="5:5" x14ac:dyDescent="0.25">
      <c r="E660"/>
    </row>
    <row r="661" spans="5:5" x14ac:dyDescent="0.25">
      <c r="E661"/>
    </row>
    <row r="662" spans="5:5" x14ac:dyDescent="0.25">
      <c r="E662"/>
    </row>
    <row r="663" spans="5:5" x14ac:dyDescent="0.25">
      <c r="E663"/>
    </row>
    <row r="664" spans="5:5" x14ac:dyDescent="0.25">
      <c r="E664"/>
    </row>
    <row r="665" spans="5:5" x14ac:dyDescent="0.25">
      <c r="E665"/>
    </row>
    <row r="666" spans="5:5" x14ac:dyDescent="0.25">
      <c r="E666"/>
    </row>
    <row r="667" spans="5:5" x14ac:dyDescent="0.25">
      <c r="E667"/>
    </row>
    <row r="668" spans="5:5" x14ac:dyDescent="0.25">
      <c r="E668"/>
    </row>
    <row r="669" spans="5:5" x14ac:dyDescent="0.25">
      <c r="E669"/>
    </row>
    <row r="670" spans="5:5" x14ac:dyDescent="0.25">
      <c r="E670"/>
    </row>
    <row r="671" spans="5:5" x14ac:dyDescent="0.25">
      <c r="E671"/>
    </row>
    <row r="672" spans="5:5" x14ac:dyDescent="0.25">
      <c r="E672"/>
    </row>
    <row r="673" spans="5:5" x14ac:dyDescent="0.25">
      <c r="E673"/>
    </row>
    <row r="674" spans="5:5" x14ac:dyDescent="0.25">
      <c r="E674"/>
    </row>
    <row r="675" spans="5:5" x14ac:dyDescent="0.25">
      <c r="E675"/>
    </row>
    <row r="676" spans="5:5" x14ac:dyDescent="0.25">
      <c r="E676"/>
    </row>
    <row r="677" spans="5:5" x14ac:dyDescent="0.25">
      <c r="E677"/>
    </row>
    <row r="678" spans="5:5" x14ac:dyDescent="0.25">
      <c r="E678"/>
    </row>
    <row r="679" spans="5:5" x14ac:dyDescent="0.25">
      <c r="E679"/>
    </row>
    <row r="680" spans="5:5" x14ac:dyDescent="0.25">
      <c r="E680"/>
    </row>
    <row r="681" spans="5:5" x14ac:dyDescent="0.25">
      <c r="E681"/>
    </row>
    <row r="682" spans="5:5" x14ac:dyDescent="0.25">
      <c r="E682"/>
    </row>
    <row r="683" spans="5:5" x14ac:dyDescent="0.25">
      <c r="E683"/>
    </row>
    <row r="684" spans="5:5" x14ac:dyDescent="0.25">
      <c r="E684"/>
    </row>
    <row r="685" spans="5:5" x14ac:dyDescent="0.25">
      <c r="E685"/>
    </row>
    <row r="686" spans="5:5" x14ac:dyDescent="0.25">
      <c r="E686"/>
    </row>
    <row r="687" spans="5:5" x14ac:dyDescent="0.25">
      <c r="E687"/>
    </row>
    <row r="688" spans="5:5" x14ac:dyDescent="0.25">
      <c r="E688"/>
    </row>
    <row r="689" spans="5:5" x14ac:dyDescent="0.25">
      <c r="E689"/>
    </row>
    <row r="690" spans="5:5" x14ac:dyDescent="0.25">
      <c r="E690"/>
    </row>
    <row r="691" spans="5:5" x14ac:dyDescent="0.25">
      <c r="E691"/>
    </row>
    <row r="692" spans="5:5" x14ac:dyDescent="0.25">
      <c r="E692"/>
    </row>
    <row r="693" spans="5:5" x14ac:dyDescent="0.25">
      <c r="E693"/>
    </row>
    <row r="694" spans="5:5" x14ac:dyDescent="0.25">
      <c r="E694"/>
    </row>
    <row r="695" spans="5:5" x14ac:dyDescent="0.25">
      <c r="E695"/>
    </row>
    <row r="696" spans="5:5" x14ac:dyDescent="0.25">
      <c r="E696"/>
    </row>
    <row r="697" spans="5:5" x14ac:dyDescent="0.25">
      <c r="E697"/>
    </row>
    <row r="698" spans="5:5" x14ac:dyDescent="0.25">
      <c r="E698"/>
    </row>
    <row r="699" spans="5:5" x14ac:dyDescent="0.25">
      <c r="E699"/>
    </row>
    <row r="700" spans="5:5" x14ac:dyDescent="0.25">
      <c r="E700"/>
    </row>
    <row r="701" spans="5:5" x14ac:dyDescent="0.25">
      <c r="E701"/>
    </row>
    <row r="702" spans="5:5" x14ac:dyDescent="0.25">
      <c r="E702"/>
    </row>
    <row r="703" spans="5:5" x14ac:dyDescent="0.25">
      <c r="E703"/>
    </row>
    <row r="704" spans="5:5" x14ac:dyDescent="0.25">
      <c r="E704"/>
    </row>
    <row r="705" spans="5:5" x14ac:dyDescent="0.25">
      <c r="E705"/>
    </row>
    <row r="706" spans="5:5" x14ac:dyDescent="0.25">
      <c r="E706"/>
    </row>
    <row r="707" spans="5:5" x14ac:dyDescent="0.25">
      <c r="E707"/>
    </row>
    <row r="708" spans="5:5" x14ac:dyDescent="0.25">
      <c r="E708"/>
    </row>
    <row r="709" spans="5:5" x14ac:dyDescent="0.25">
      <c r="E709"/>
    </row>
    <row r="710" spans="5:5" x14ac:dyDescent="0.25">
      <c r="E710"/>
    </row>
    <row r="711" spans="5:5" x14ac:dyDescent="0.25">
      <c r="E711"/>
    </row>
    <row r="712" spans="5:5" x14ac:dyDescent="0.25">
      <c r="E712"/>
    </row>
    <row r="713" spans="5:5" x14ac:dyDescent="0.25">
      <c r="E713"/>
    </row>
    <row r="714" spans="5:5" x14ac:dyDescent="0.25">
      <c r="E714"/>
    </row>
    <row r="715" spans="5:5" x14ac:dyDescent="0.25">
      <c r="E715"/>
    </row>
    <row r="716" spans="5:5" x14ac:dyDescent="0.25">
      <c r="E716"/>
    </row>
    <row r="717" spans="5:5" x14ac:dyDescent="0.25">
      <c r="E717"/>
    </row>
    <row r="718" spans="5:5" x14ac:dyDescent="0.25">
      <c r="E718"/>
    </row>
    <row r="719" spans="5:5" x14ac:dyDescent="0.25">
      <c r="E719"/>
    </row>
    <row r="720" spans="5:5" x14ac:dyDescent="0.25">
      <c r="E720"/>
    </row>
    <row r="721" spans="5:5" x14ac:dyDescent="0.25">
      <c r="E721"/>
    </row>
    <row r="722" spans="5:5" x14ac:dyDescent="0.25">
      <c r="E722"/>
    </row>
    <row r="723" spans="5:5" x14ac:dyDescent="0.25">
      <c r="E723"/>
    </row>
    <row r="724" spans="5:5" x14ac:dyDescent="0.25">
      <c r="E724"/>
    </row>
    <row r="725" spans="5:5" x14ac:dyDescent="0.25">
      <c r="E725"/>
    </row>
    <row r="726" spans="5:5" x14ac:dyDescent="0.25">
      <c r="E726"/>
    </row>
    <row r="727" spans="5:5" x14ac:dyDescent="0.25">
      <c r="E727"/>
    </row>
    <row r="728" spans="5:5" x14ac:dyDescent="0.25">
      <c r="E728"/>
    </row>
    <row r="729" spans="5:5" x14ac:dyDescent="0.25">
      <c r="E729"/>
    </row>
    <row r="730" spans="5:5" x14ac:dyDescent="0.25">
      <c r="E730"/>
    </row>
    <row r="731" spans="5:5" x14ac:dyDescent="0.25">
      <c r="E731"/>
    </row>
    <row r="732" spans="5:5" x14ac:dyDescent="0.25">
      <c r="E732"/>
    </row>
    <row r="733" spans="5:5" x14ac:dyDescent="0.25">
      <c r="E733"/>
    </row>
    <row r="734" spans="5:5" x14ac:dyDescent="0.25">
      <c r="E734"/>
    </row>
    <row r="735" spans="5:5" x14ac:dyDescent="0.25">
      <c r="E735"/>
    </row>
    <row r="736" spans="5:5" x14ac:dyDescent="0.25">
      <c r="E736"/>
    </row>
    <row r="737" spans="5:5" x14ac:dyDescent="0.25">
      <c r="E737"/>
    </row>
    <row r="738" spans="5:5" x14ac:dyDescent="0.25">
      <c r="E738"/>
    </row>
    <row r="739" spans="5:5" x14ac:dyDescent="0.25">
      <c r="E739"/>
    </row>
    <row r="740" spans="5:5" x14ac:dyDescent="0.25">
      <c r="E740"/>
    </row>
    <row r="741" spans="5:5" x14ac:dyDescent="0.25">
      <c r="E741"/>
    </row>
    <row r="742" spans="5:5" x14ac:dyDescent="0.25">
      <c r="E742"/>
    </row>
    <row r="743" spans="5:5" x14ac:dyDescent="0.25">
      <c r="E743"/>
    </row>
    <row r="744" spans="5:5" x14ac:dyDescent="0.25">
      <c r="E744"/>
    </row>
    <row r="745" spans="5:5" x14ac:dyDescent="0.25">
      <c r="E745"/>
    </row>
    <row r="746" spans="5:5" x14ac:dyDescent="0.25">
      <c r="E746"/>
    </row>
    <row r="747" spans="5:5" x14ac:dyDescent="0.25">
      <c r="E747"/>
    </row>
    <row r="748" spans="5:5" x14ac:dyDescent="0.25">
      <c r="E748"/>
    </row>
    <row r="749" spans="5:5" x14ac:dyDescent="0.25">
      <c r="E749"/>
    </row>
    <row r="750" spans="5:5" x14ac:dyDescent="0.25">
      <c r="E750"/>
    </row>
    <row r="751" spans="5:5" x14ac:dyDescent="0.25">
      <c r="E751"/>
    </row>
    <row r="752" spans="5:5" x14ac:dyDescent="0.25">
      <c r="E752"/>
    </row>
    <row r="753" spans="5:5" x14ac:dyDescent="0.25">
      <c r="E753"/>
    </row>
    <row r="754" spans="5:5" x14ac:dyDescent="0.25">
      <c r="E754"/>
    </row>
    <row r="755" spans="5:5" x14ac:dyDescent="0.25">
      <c r="E755"/>
    </row>
    <row r="756" spans="5:5" x14ac:dyDescent="0.25">
      <c r="E756"/>
    </row>
    <row r="757" spans="5:5" x14ac:dyDescent="0.25">
      <c r="E757"/>
    </row>
    <row r="758" spans="5:5" x14ac:dyDescent="0.25">
      <c r="E758"/>
    </row>
    <row r="759" spans="5:5" x14ac:dyDescent="0.25">
      <c r="E759"/>
    </row>
    <row r="760" spans="5:5" x14ac:dyDescent="0.25">
      <c r="E760"/>
    </row>
    <row r="761" spans="5:5" x14ac:dyDescent="0.25">
      <c r="E761"/>
    </row>
    <row r="762" spans="5:5" x14ac:dyDescent="0.25">
      <c r="E762"/>
    </row>
    <row r="763" spans="5:5" x14ac:dyDescent="0.25">
      <c r="E763"/>
    </row>
    <row r="764" spans="5:5" x14ac:dyDescent="0.25">
      <c r="E764"/>
    </row>
    <row r="765" spans="5:5" x14ac:dyDescent="0.25">
      <c r="E765"/>
    </row>
    <row r="766" spans="5:5" x14ac:dyDescent="0.25">
      <c r="E766"/>
    </row>
    <row r="767" spans="5:5" x14ac:dyDescent="0.25">
      <c r="E767"/>
    </row>
    <row r="768" spans="5:5" x14ac:dyDescent="0.25">
      <c r="E768"/>
    </row>
    <row r="769" spans="5:5" x14ac:dyDescent="0.25">
      <c r="E769"/>
    </row>
    <row r="770" spans="5:5" x14ac:dyDescent="0.25">
      <c r="E770"/>
    </row>
    <row r="771" spans="5:5" x14ac:dyDescent="0.25">
      <c r="E771"/>
    </row>
    <row r="772" spans="5:5" x14ac:dyDescent="0.25">
      <c r="E772"/>
    </row>
    <row r="773" spans="5:5" x14ac:dyDescent="0.25">
      <c r="E773"/>
    </row>
    <row r="774" spans="5:5" x14ac:dyDescent="0.25">
      <c r="E774"/>
    </row>
    <row r="775" spans="5:5" x14ac:dyDescent="0.25">
      <c r="E775"/>
    </row>
    <row r="776" spans="5:5" x14ac:dyDescent="0.25">
      <c r="E776"/>
    </row>
    <row r="777" spans="5:5" x14ac:dyDescent="0.25">
      <c r="E777"/>
    </row>
    <row r="778" spans="5:5" x14ac:dyDescent="0.25">
      <c r="E778"/>
    </row>
    <row r="779" spans="5:5" x14ac:dyDescent="0.25">
      <c r="E779"/>
    </row>
    <row r="780" spans="5:5" x14ac:dyDescent="0.25">
      <c r="E780"/>
    </row>
    <row r="781" spans="5:5" x14ac:dyDescent="0.25">
      <c r="E781"/>
    </row>
    <row r="782" spans="5:5" x14ac:dyDescent="0.25">
      <c r="E782"/>
    </row>
    <row r="783" spans="5:5" x14ac:dyDescent="0.25">
      <c r="E783"/>
    </row>
    <row r="784" spans="5:5" x14ac:dyDescent="0.25">
      <c r="E784"/>
    </row>
    <row r="785" spans="5:5" x14ac:dyDescent="0.25">
      <c r="E785"/>
    </row>
    <row r="786" spans="5:5" x14ac:dyDescent="0.25">
      <c r="E786"/>
    </row>
    <row r="787" spans="5:5" x14ac:dyDescent="0.25">
      <c r="E787"/>
    </row>
    <row r="788" spans="5:5" x14ac:dyDescent="0.25">
      <c r="E788"/>
    </row>
    <row r="789" spans="5:5" x14ac:dyDescent="0.25">
      <c r="E789"/>
    </row>
    <row r="790" spans="5:5" x14ac:dyDescent="0.25">
      <c r="E790"/>
    </row>
    <row r="791" spans="5:5" x14ac:dyDescent="0.25">
      <c r="E791"/>
    </row>
    <row r="792" spans="5:5" x14ac:dyDescent="0.25">
      <c r="E792"/>
    </row>
    <row r="793" spans="5:5" x14ac:dyDescent="0.25">
      <c r="E793"/>
    </row>
    <row r="794" spans="5:5" x14ac:dyDescent="0.25">
      <c r="E794"/>
    </row>
    <row r="795" spans="5:5" x14ac:dyDescent="0.25">
      <c r="E795"/>
    </row>
    <row r="796" spans="5:5" x14ac:dyDescent="0.25">
      <c r="E796"/>
    </row>
    <row r="797" spans="5:5" x14ac:dyDescent="0.25">
      <c r="E797"/>
    </row>
    <row r="798" spans="5:5" x14ac:dyDescent="0.25">
      <c r="E798"/>
    </row>
    <row r="799" spans="5:5" x14ac:dyDescent="0.25">
      <c r="E799"/>
    </row>
    <row r="800" spans="5:5" x14ac:dyDescent="0.25">
      <c r="E800"/>
    </row>
    <row r="801" spans="5:5" x14ac:dyDescent="0.25">
      <c r="E801"/>
    </row>
    <row r="802" spans="5:5" x14ac:dyDescent="0.25">
      <c r="E802"/>
    </row>
    <row r="803" spans="5:5" x14ac:dyDescent="0.25">
      <c r="E803"/>
    </row>
    <row r="804" spans="5:5" x14ac:dyDescent="0.25">
      <c r="E804"/>
    </row>
    <row r="805" spans="5:5" x14ac:dyDescent="0.25">
      <c r="E805"/>
    </row>
    <row r="806" spans="5:5" x14ac:dyDescent="0.25">
      <c r="E806"/>
    </row>
    <row r="807" spans="5:5" x14ac:dyDescent="0.25">
      <c r="E807"/>
    </row>
    <row r="808" spans="5:5" x14ac:dyDescent="0.25">
      <c r="E808"/>
    </row>
    <row r="809" spans="5:5" x14ac:dyDescent="0.25">
      <c r="E809"/>
    </row>
    <row r="810" spans="5:5" x14ac:dyDescent="0.25">
      <c r="E810"/>
    </row>
    <row r="811" spans="5:5" x14ac:dyDescent="0.25">
      <c r="E811"/>
    </row>
    <row r="812" spans="5:5" x14ac:dyDescent="0.25">
      <c r="E812"/>
    </row>
    <row r="813" spans="5:5" x14ac:dyDescent="0.25">
      <c r="E813"/>
    </row>
    <row r="814" spans="5:5" x14ac:dyDescent="0.25">
      <c r="E814"/>
    </row>
    <row r="815" spans="5:5" x14ac:dyDescent="0.25">
      <c r="E815"/>
    </row>
    <row r="816" spans="5:5" x14ac:dyDescent="0.25">
      <c r="E816"/>
    </row>
    <row r="817" spans="5:5" x14ac:dyDescent="0.25">
      <c r="E817"/>
    </row>
    <row r="818" spans="5:5" x14ac:dyDescent="0.25">
      <c r="E818"/>
    </row>
    <row r="819" spans="5:5" x14ac:dyDescent="0.25">
      <c r="E819"/>
    </row>
    <row r="820" spans="5:5" x14ac:dyDescent="0.25">
      <c r="E820"/>
    </row>
    <row r="821" spans="5:5" x14ac:dyDescent="0.25">
      <c r="E821"/>
    </row>
    <row r="822" spans="5:5" x14ac:dyDescent="0.25">
      <c r="E822"/>
    </row>
    <row r="823" spans="5:5" x14ac:dyDescent="0.25">
      <c r="E823"/>
    </row>
    <row r="824" spans="5:5" x14ac:dyDescent="0.25">
      <c r="E824"/>
    </row>
    <row r="825" spans="5:5" x14ac:dyDescent="0.25">
      <c r="E825"/>
    </row>
    <row r="826" spans="5:5" x14ac:dyDescent="0.25">
      <c r="E826"/>
    </row>
    <row r="827" spans="5:5" x14ac:dyDescent="0.25">
      <c r="E827"/>
    </row>
    <row r="828" spans="5:5" x14ac:dyDescent="0.25">
      <c r="E828"/>
    </row>
    <row r="829" spans="5:5" x14ac:dyDescent="0.25">
      <c r="E829"/>
    </row>
    <row r="830" spans="5:5" x14ac:dyDescent="0.25">
      <c r="E830"/>
    </row>
    <row r="831" spans="5:5" x14ac:dyDescent="0.25">
      <c r="E831"/>
    </row>
    <row r="832" spans="5:5" x14ac:dyDescent="0.25">
      <c r="E832"/>
    </row>
    <row r="833" spans="5:5" x14ac:dyDescent="0.25">
      <c r="E833"/>
    </row>
    <row r="834" spans="5:5" x14ac:dyDescent="0.25">
      <c r="E834"/>
    </row>
    <row r="835" spans="5:5" x14ac:dyDescent="0.25">
      <c r="E835"/>
    </row>
    <row r="836" spans="5:5" x14ac:dyDescent="0.25">
      <c r="E836"/>
    </row>
    <row r="837" spans="5:5" x14ac:dyDescent="0.25">
      <c r="E837"/>
    </row>
    <row r="838" spans="5:5" x14ac:dyDescent="0.25">
      <c r="E838"/>
    </row>
    <row r="839" spans="5:5" x14ac:dyDescent="0.25">
      <c r="E839"/>
    </row>
    <row r="840" spans="5:5" x14ac:dyDescent="0.25">
      <c r="E840"/>
    </row>
    <row r="841" spans="5:5" x14ac:dyDescent="0.25">
      <c r="E841"/>
    </row>
    <row r="842" spans="5:5" x14ac:dyDescent="0.25">
      <c r="E842"/>
    </row>
    <row r="843" spans="5:5" x14ac:dyDescent="0.25">
      <c r="E843"/>
    </row>
    <row r="844" spans="5:5" x14ac:dyDescent="0.25">
      <c r="E844"/>
    </row>
    <row r="845" spans="5:5" x14ac:dyDescent="0.25">
      <c r="E845"/>
    </row>
    <row r="846" spans="5:5" x14ac:dyDescent="0.25">
      <c r="E846"/>
    </row>
    <row r="847" spans="5:5" x14ac:dyDescent="0.25">
      <c r="E847"/>
    </row>
    <row r="848" spans="5:5" x14ac:dyDescent="0.25">
      <c r="E848"/>
    </row>
    <row r="849" spans="5:5" x14ac:dyDescent="0.25">
      <c r="E849"/>
    </row>
    <row r="850" spans="5:5" x14ac:dyDescent="0.25">
      <c r="E850"/>
    </row>
    <row r="851" spans="5:5" x14ac:dyDescent="0.25">
      <c r="E851"/>
    </row>
    <row r="852" spans="5:5" x14ac:dyDescent="0.25">
      <c r="E852"/>
    </row>
    <row r="853" spans="5:5" x14ac:dyDescent="0.25">
      <c r="E853"/>
    </row>
    <row r="854" spans="5:5" x14ac:dyDescent="0.25">
      <c r="E854"/>
    </row>
    <row r="855" spans="5:5" x14ac:dyDescent="0.25">
      <c r="E855"/>
    </row>
    <row r="856" spans="5:5" x14ac:dyDescent="0.25">
      <c r="E856"/>
    </row>
    <row r="857" spans="5:5" x14ac:dyDescent="0.25">
      <c r="E857"/>
    </row>
    <row r="858" spans="5:5" x14ac:dyDescent="0.25">
      <c r="E858"/>
    </row>
    <row r="859" spans="5:5" x14ac:dyDescent="0.25">
      <c r="E859"/>
    </row>
    <row r="860" spans="5:5" x14ac:dyDescent="0.25">
      <c r="E860"/>
    </row>
    <row r="861" spans="5:5" x14ac:dyDescent="0.25">
      <c r="E861"/>
    </row>
    <row r="862" spans="5:5" x14ac:dyDescent="0.25">
      <c r="E862"/>
    </row>
    <row r="863" spans="5:5" x14ac:dyDescent="0.25">
      <c r="E863"/>
    </row>
    <row r="864" spans="5:5" x14ac:dyDescent="0.25">
      <c r="E864"/>
    </row>
    <row r="865" spans="5:5" x14ac:dyDescent="0.25">
      <c r="E865"/>
    </row>
    <row r="866" spans="5:5" x14ac:dyDescent="0.25">
      <c r="E866"/>
    </row>
    <row r="867" spans="5:5" x14ac:dyDescent="0.25">
      <c r="E867"/>
    </row>
    <row r="868" spans="5:5" x14ac:dyDescent="0.25">
      <c r="E868"/>
    </row>
    <row r="869" spans="5:5" x14ac:dyDescent="0.25">
      <c r="E869"/>
    </row>
    <row r="870" spans="5:5" x14ac:dyDescent="0.25">
      <c r="E870"/>
    </row>
    <row r="871" spans="5:5" x14ac:dyDescent="0.25">
      <c r="E871"/>
    </row>
    <row r="872" spans="5:5" x14ac:dyDescent="0.25">
      <c r="E872"/>
    </row>
    <row r="873" spans="5:5" x14ac:dyDescent="0.25">
      <c r="E873"/>
    </row>
    <row r="874" spans="5:5" x14ac:dyDescent="0.25">
      <c r="E874"/>
    </row>
    <row r="875" spans="5:5" x14ac:dyDescent="0.25">
      <c r="E875"/>
    </row>
    <row r="876" spans="5:5" x14ac:dyDescent="0.25">
      <c r="E876"/>
    </row>
    <row r="877" spans="5:5" x14ac:dyDescent="0.25">
      <c r="E877"/>
    </row>
    <row r="878" spans="5:5" x14ac:dyDescent="0.25">
      <c r="E878"/>
    </row>
    <row r="879" spans="5:5" x14ac:dyDescent="0.25">
      <c r="E879"/>
    </row>
    <row r="880" spans="5:5" x14ac:dyDescent="0.25">
      <c r="E880"/>
    </row>
    <row r="881" spans="5:5" x14ac:dyDescent="0.25">
      <c r="E881"/>
    </row>
    <row r="882" spans="5:5" x14ac:dyDescent="0.25">
      <c r="E882"/>
    </row>
    <row r="883" spans="5:5" x14ac:dyDescent="0.25">
      <c r="E883"/>
    </row>
    <row r="884" spans="5:5" x14ac:dyDescent="0.25">
      <c r="E884"/>
    </row>
    <row r="885" spans="5:5" x14ac:dyDescent="0.25">
      <c r="E885"/>
    </row>
    <row r="886" spans="5:5" x14ac:dyDescent="0.25">
      <c r="E886"/>
    </row>
    <row r="887" spans="5:5" x14ac:dyDescent="0.25">
      <c r="E887"/>
    </row>
    <row r="888" spans="5:5" x14ac:dyDescent="0.25">
      <c r="E888"/>
    </row>
    <row r="889" spans="5:5" x14ac:dyDescent="0.25">
      <c r="E889"/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CF48-6F3A-4D37-A623-9CC085B70B45}">
  <dimension ref="A1:K901"/>
  <sheetViews>
    <sheetView workbookViewId="0">
      <selection activeCell="B36" sqref="B36"/>
    </sheetView>
  </sheetViews>
  <sheetFormatPr defaultRowHeight="14.4" x14ac:dyDescent="0.25"/>
  <cols>
    <col min="1" max="1" width="28.109375" bestFit="1" customWidth="1"/>
    <col min="2" max="2" width="30.33203125" bestFit="1" customWidth="1"/>
    <col min="3" max="3" width="24.88671875" bestFit="1" customWidth="1"/>
    <col min="4" max="4" width="16.88671875" bestFit="1" customWidth="1"/>
    <col min="5" max="5" width="12.77734375" bestFit="1" customWidth="1"/>
    <col min="6" max="6" width="12.5546875" bestFit="1" customWidth="1"/>
    <col min="7" max="7" width="8" bestFit="1" customWidth="1"/>
    <col min="8" max="8" width="30.33203125" bestFit="1" customWidth="1"/>
    <col min="9" max="11" width="10" bestFit="1" customWidth="1"/>
  </cols>
  <sheetData>
    <row r="1" spans="1:11" x14ac:dyDescent="0.25">
      <c r="A1" s="153" t="s">
        <v>598</v>
      </c>
      <c r="B1" s="153" t="s">
        <v>599</v>
      </c>
      <c r="C1" s="153" t="s">
        <v>600</v>
      </c>
      <c r="D1" s="153" t="s">
        <v>601</v>
      </c>
      <c r="E1" s="153" t="s">
        <v>602</v>
      </c>
      <c r="F1" s="153" t="s">
        <v>603</v>
      </c>
      <c r="G1" s="153" t="s">
        <v>604</v>
      </c>
      <c r="H1" s="153" t="s">
        <v>605</v>
      </c>
      <c r="I1" s="153" t="s">
        <v>606</v>
      </c>
      <c r="J1" s="153" t="s">
        <v>607</v>
      </c>
      <c r="K1" s="153" t="s">
        <v>608</v>
      </c>
    </row>
    <row r="2" spans="1:11" x14ac:dyDescent="0.25">
      <c r="A2" t="s">
        <v>868</v>
      </c>
      <c r="B2" t="s">
        <v>868</v>
      </c>
      <c r="C2" t="s">
        <v>869</v>
      </c>
      <c r="D2" t="s">
        <v>870</v>
      </c>
      <c r="E2" t="s">
        <v>871</v>
      </c>
      <c r="F2" t="s">
        <v>613</v>
      </c>
      <c r="G2" t="s">
        <v>613</v>
      </c>
    </row>
    <row r="3" spans="1:11" x14ac:dyDescent="0.25">
      <c r="A3" t="s">
        <v>1507</v>
      </c>
      <c r="B3" t="s">
        <v>1507</v>
      </c>
      <c r="C3" t="s">
        <v>678</v>
      </c>
      <c r="D3" t="s">
        <v>870</v>
      </c>
      <c r="E3" t="s">
        <v>1508</v>
      </c>
      <c r="F3" t="s">
        <v>613</v>
      </c>
      <c r="G3" t="s">
        <v>613</v>
      </c>
    </row>
    <row r="4" spans="1:11" x14ac:dyDescent="0.25">
      <c r="A4" t="s">
        <v>2126</v>
      </c>
      <c r="B4" t="s">
        <v>2126</v>
      </c>
      <c r="C4" t="s">
        <v>869</v>
      </c>
      <c r="D4" t="s">
        <v>870</v>
      </c>
      <c r="E4" t="s">
        <v>2127</v>
      </c>
      <c r="F4" t="s">
        <v>613</v>
      </c>
      <c r="G4" t="s">
        <v>613</v>
      </c>
    </row>
    <row r="5" spans="1:11" x14ac:dyDescent="0.25">
      <c r="A5" t="s">
        <v>2246</v>
      </c>
      <c r="B5" t="s">
        <v>2246</v>
      </c>
      <c r="C5" t="s">
        <v>2247</v>
      </c>
      <c r="D5" t="s">
        <v>2248</v>
      </c>
      <c r="E5" t="s">
        <v>2249</v>
      </c>
      <c r="F5" t="s">
        <v>613</v>
      </c>
      <c r="G5" t="s">
        <v>613</v>
      </c>
    </row>
    <row r="6" spans="1:11" x14ac:dyDescent="0.25">
      <c r="A6" t="s">
        <v>2409</v>
      </c>
      <c r="B6" t="s">
        <v>2409</v>
      </c>
      <c r="E6" t="s">
        <v>908</v>
      </c>
      <c r="F6" t="s">
        <v>613</v>
      </c>
      <c r="G6" t="s">
        <v>613</v>
      </c>
    </row>
    <row r="7" spans="1:11" x14ac:dyDescent="0.25">
      <c r="A7" t="s">
        <v>2785</v>
      </c>
      <c r="B7" t="s">
        <v>2785</v>
      </c>
      <c r="C7" t="s">
        <v>678</v>
      </c>
      <c r="D7" t="s">
        <v>870</v>
      </c>
      <c r="E7" t="s">
        <v>2786</v>
      </c>
      <c r="F7" t="s">
        <v>613</v>
      </c>
      <c r="G7" t="s">
        <v>613</v>
      </c>
    </row>
    <row r="8" spans="1:11" x14ac:dyDescent="0.25">
      <c r="A8" t="s">
        <v>3037</v>
      </c>
      <c r="B8" t="s">
        <v>3037</v>
      </c>
      <c r="C8" t="s">
        <v>678</v>
      </c>
      <c r="D8" t="s">
        <v>1025</v>
      </c>
      <c r="E8" t="s">
        <v>3038</v>
      </c>
      <c r="F8" t="s">
        <v>613</v>
      </c>
      <c r="G8" t="s">
        <v>613</v>
      </c>
    </row>
    <row r="9" spans="1:11" x14ac:dyDescent="0.25">
      <c r="A9" t="s">
        <v>3092</v>
      </c>
      <c r="B9" t="s">
        <v>3092</v>
      </c>
      <c r="C9" t="s">
        <v>678</v>
      </c>
      <c r="D9" t="s">
        <v>3093</v>
      </c>
      <c r="F9" t="s">
        <v>613</v>
      </c>
      <c r="G9" t="s">
        <v>613</v>
      </c>
    </row>
    <row r="10" spans="1:11" x14ac:dyDescent="0.25">
      <c r="A10" t="s">
        <v>3118</v>
      </c>
      <c r="B10" t="s">
        <v>3118</v>
      </c>
      <c r="C10" t="s">
        <v>678</v>
      </c>
      <c r="D10" t="s">
        <v>1025</v>
      </c>
      <c r="E10" t="s">
        <v>3119</v>
      </c>
      <c r="F10" t="s">
        <v>613</v>
      </c>
      <c r="G10" t="s">
        <v>613</v>
      </c>
    </row>
    <row r="11" spans="1:11" x14ac:dyDescent="0.25">
      <c r="A11" t="s">
        <v>3231</v>
      </c>
      <c r="B11" t="s">
        <v>3231</v>
      </c>
      <c r="C11" t="s">
        <v>989</v>
      </c>
      <c r="D11" t="s">
        <v>3232</v>
      </c>
      <c r="E11" t="s">
        <v>3233</v>
      </c>
      <c r="F11" t="s">
        <v>613</v>
      </c>
      <c r="G11" t="s">
        <v>613</v>
      </c>
    </row>
    <row r="12" spans="1:11" x14ac:dyDescent="0.25">
      <c r="A12" t="s">
        <v>609</v>
      </c>
      <c r="B12" t="s">
        <v>609</v>
      </c>
      <c r="C12" t="s">
        <v>610</v>
      </c>
      <c r="D12" t="s">
        <v>611</v>
      </c>
      <c r="F12" t="s">
        <v>612</v>
      </c>
      <c r="G12" t="s">
        <v>613</v>
      </c>
      <c r="H12" t="s">
        <v>614</v>
      </c>
    </row>
    <row r="13" spans="1:11" x14ac:dyDescent="0.25">
      <c r="A13" t="s">
        <v>420</v>
      </c>
      <c r="B13" t="s">
        <v>615</v>
      </c>
      <c r="C13" t="s">
        <v>616</v>
      </c>
      <c r="D13" t="s">
        <v>617</v>
      </c>
      <c r="F13" t="s">
        <v>612</v>
      </c>
      <c r="G13" t="s">
        <v>613</v>
      </c>
      <c r="H13" t="s">
        <v>618</v>
      </c>
    </row>
    <row r="14" spans="1:11" x14ac:dyDescent="0.25">
      <c r="A14" t="s">
        <v>619</v>
      </c>
      <c r="B14" t="s">
        <v>620</v>
      </c>
      <c r="C14" t="s">
        <v>621</v>
      </c>
      <c r="D14" t="s">
        <v>622</v>
      </c>
      <c r="E14" t="s">
        <v>623</v>
      </c>
      <c r="F14" t="s">
        <v>612</v>
      </c>
      <c r="G14" t="s">
        <v>613</v>
      </c>
      <c r="H14" t="s">
        <v>618</v>
      </c>
    </row>
    <row r="15" spans="1:11" x14ac:dyDescent="0.25">
      <c r="A15" t="s">
        <v>624</v>
      </c>
      <c r="B15" t="s">
        <v>625</v>
      </c>
      <c r="C15" t="s">
        <v>626</v>
      </c>
      <c r="D15" t="s">
        <v>627</v>
      </c>
      <c r="F15" t="s">
        <v>612</v>
      </c>
      <c r="G15" t="s">
        <v>613</v>
      </c>
      <c r="H15" t="s">
        <v>628</v>
      </c>
    </row>
    <row r="16" spans="1:11" x14ac:dyDescent="0.25">
      <c r="A16" t="s">
        <v>629</v>
      </c>
      <c r="B16" t="s">
        <v>630</v>
      </c>
      <c r="C16" t="s">
        <v>631</v>
      </c>
      <c r="D16" t="s">
        <v>632</v>
      </c>
      <c r="E16" t="s">
        <v>633</v>
      </c>
      <c r="F16" t="s">
        <v>612</v>
      </c>
      <c r="G16" t="s">
        <v>613</v>
      </c>
      <c r="H16" t="s">
        <v>634</v>
      </c>
    </row>
    <row r="17" spans="1:8" x14ac:dyDescent="0.25">
      <c r="A17" t="s">
        <v>635</v>
      </c>
      <c r="B17" t="s">
        <v>636</v>
      </c>
      <c r="C17" t="s">
        <v>67</v>
      </c>
      <c r="D17" t="s">
        <v>637</v>
      </c>
      <c r="E17" t="s">
        <v>638</v>
      </c>
      <c r="F17" t="s">
        <v>612</v>
      </c>
      <c r="G17" t="s">
        <v>613</v>
      </c>
      <c r="H17" t="s">
        <v>618</v>
      </c>
    </row>
    <row r="18" spans="1:8" x14ac:dyDescent="0.25">
      <c r="A18" t="s">
        <v>128</v>
      </c>
      <c r="B18" t="s">
        <v>639</v>
      </c>
      <c r="C18" t="s">
        <v>640</v>
      </c>
      <c r="D18" t="s">
        <v>641</v>
      </c>
      <c r="E18" t="s">
        <v>642</v>
      </c>
      <c r="F18" t="s">
        <v>612</v>
      </c>
      <c r="G18" t="s">
        <v>613</v>
      </c>
      <c r="H18" t="s">
        <v>618</v>
      </c>
    </row>
    <row r="19" spans="1:8" x14ac:dyDescent="0.25">
      <c r="A19" t="s">
        <v>643</v>
      </c>
      <c r="B19" t="s">
        <v>644</v>
      </c>
      <c r="C19" t="s">
        <v>645</v>
      </c>
      <c r="D19" t="s">
        <v>646</v>
      </c>
      <c r="E19" t="s">
        <v>647</v>
      </c>
      <c r="F19" t="s">
        <v>612</v>
      </c>
      <c r="G19" t="s">
        <v>613</v>
      </c>
      <c r="H19" t="s">
        <v>648</v>
      </c>
    </row>
    <row r="20" spans="1:8" x14ac:dyDescent="0.25">
      <c r="A20" t="s">
        <v>312</v>
      </c>
      <c r="B20" t="s">
        <v>649</v>
      </c>
      <c r="C20" t="s">
        <v>86</v>
      </c>
      <c r="D20" t="s">
        <v>650</v>
      </c>
      <c r="F20" t="s">
        <v>612</v>
      </c>
      <c r="G20" t="s">
        <v>613</v>
      </c>
      <c r="H20" t="s">
        <v>634</v>
      </c>
    </row>
    <row r="21" spans="1:8" x14ac:dyDescent="0.25">
      <c r="A21" t="s">
        <v>651</v>
      </c>
      <c r="B21" t="s">
        <v>652</v>
      </c>
      <c r="C21" t="s">
        <v>653</v>
      </c>
      <c r="D21" t="s">
        <v>654</v>
      </c>
      <c r="F21" t="s">
        <v>612</v>
      </c>
      <c r="G21" t="s">
        <v>613</v>
      </c>
      <c r="H21" t="s">
        <v>655</v>
      </c>
    </row>
    <row r="22" spans="1:8" x14ac:dyDescent="0.25">
      <c r="A22" t="s">
        <v>413</v>
      </c>
      <c r="B22" t="s">
        <v>656</v>
      </c>
      <c r="C22" t="s">
        <v>616</v>
      </c>
      <c r="D22" t="s">
        <v>657</v>
      </c>
      <c r="E22" t="s">
        <v>658</v>
      </c>
      <c r="F22" t="s">
        <v>612</v>
      </c>
      <c r="G22" t="s">
        <v>613</v>
      </c>
      <c r="H22" t="s">
        <v>618</v>
      </c>
    </row>
    <row r="23" spans="1:8" x14ac:dyDescent="0.25">
      <c r="A23" t="s">
        <v>659</v>
      </c>
      <c r="B23" t="s">
        <v>660</v>
      </c>
      <c r="C23" t="s">
        <v>661</v>
      </c>
      <c r="D23" t="s">
        <v>662</v>
      </c>
      <c r="E23" t="s">
        <v>663</v>
      </c>
      <c r="F23" t="s">
        <v>612</v>
      </c>
      <c r="G23" t="s">
        <v>613</v>
      </c>
      <c r="H23" t="s">
        <v>634</v>
      </c>
    </row>
    <row r="24" spans="1:8" x14ac:dyDescent="0.25">
      <c r="A24" t="s">
        <v>76</v>
      </c>
      <c r="B24" t="s">
        <v>664</v>
      </c>
      <c r="C24" t="s">
        <v>665</v>
      </c>
      <c r="D24" t="s">
        <v>666</v>
      </c>
      <c r="E24" t="s">
        <v>667</v>
      </c>
      <c r="F24" t="s">
        <v>612</v>
      </c>
      <c r="G24" t="s">
        <v>613</v>
      </c>
      <c r="H24" t="s">
        <v>628</v>
      </c>
    </row>
    <row r="25" spans="1:8" x14ac:dyDescent="0.25">
      <c r="A25" t="s">
        <v>668</v>
      </c>
      <c r="B25" t="s">
        <v>669</v>
      </c>
      <c r="C25" t="s">
        <v>67</v>
      </c>
      <c r="D25" t="s">
        <v>670</v>
      </c>
      <c r="E25" t="s">
        <v>671</v>
      </c>
      <c r="F25" t="s">
        <v>612</v>
      </c>
      <c r="G25" t="s">
        <v>613</v>
      </c>
      <c r="H25" t="s">
        <v>655</v>
      </c>
    </row>
    <row r="26" spans="1:8" x14ac:dyDescent="0.25">
      <c r="A26" t="s">
        <v>184</v>
      </c>
      <c r="B26" t="s">
        <v>672</v>
      </c>
      <c r="C26" t="s">
        <v>673</v>
      </c>
      <c r="D26" t="s">
        <v>674</v>
      </c>
      <c r="E26" t="s">
        <v>675</v>
      </c>
      <c r="F26" t="s">
        <v>612</v>
      </c>
      <c r="G26" t="s">
        <v>613</v>
      </c>
      <c r="H26" t="s">
        <v>648</v>
      </c>
    </row>
    <row r="27" spans="1:8" x14ac:dyDescent="0.25">
      <c r="A27" t="s">
        <v>676</v>
      </c>
      <c r="B27" t="s">
        <v>677</v>
      </c>
      <c r="C27" t="s">
        <v>678</v>
      </c>
      <c r="D27" t="s">
        <v>679</v>
      </c>
      <c r="E27" t="s">
        <v>680</v>
      </c>
      <c r="F27" t="s">
        <v>612</v>
      </c>
      <c r="G27" t="s">
        <v>613</v>
      </c>
      <c r="H27" t="s">
        <v>681</v>
      </c>
    </row>
    <row r="28" spans="1:8" x14ac:dyDescent="0.25">
      <c r="A28" t="s">
        <v>682</v>
      </c>
      <c r="B28" t="s">
        <v>683</v>
      </c>
      <c r="C28" t="s">
        <v>678</v>
      </c>
      <c r="D28" t="s">
        <v>684</v>
      </c>
      <c r="E28" t="s">
        <v>685</v>
      </c>
      <c r="F28" t="s">
        <v>612</v>
      </c>
      <c r="G28" t="s">
        <v>613</v>
      </c>
      <c r="H28" t="s">
        <v>681</v>
      </c>
    </row>
    <row r="29" spans="1:8" x14ac:dyDescent="0.25">
      <c r="A29" t="s">
        <v>686</v>
      </c>
      <c r="B29" t="s">
        <v>687</v>
      </c>
      <c r="C29" t="s">
        <v>102</v>
      </c>
      <c r="D29" t="s">
        <v>688</v>
      </c>
      <c r="E29" t="s">
        <v>689</v>
      </c>
      <c r="F29" t="s">
        <v>612</v>
      </c>
      <c r="G29" t="s">
        <v>613</v>
      </c>
      <c r="H29" t="s">
        <v>655</v>
      </c>
    </row>
    <row r="30" spans="1:8" x14ac:dyDescent="0.25">
      <c r="A30" t="s">
        <v>223</v>
      </c>
      <c r="B30" t="s">
        <v>690</v>
      </c>
      <c r="C30" t="s">
        <v>691</v>
      </c>
      <c r="D30" t="s">
        <v>692</v>
      </c>
      <c r="E30" t="s">
        <v>693</v>
      </c>
      <c r="F30" t="s">
        <v>612</v>
      </c>
      <c r="G30" t="s">
        <v>613</v>
      </c>
      <c r="H30" t="s">
        <v>634</v>
      </c>
    </row>
    <row r="31" spans="1:8" x14ac:dyDescent="0.25">
      <c r="A31" t="s">
        <v>452</v>
      </c>
      <c r="B31" t="s">
        <v>694</v>
      </c>
      <c r="C31" t="s">
        <v>695</v>
      </c>
      <c r="D31" t="s">
        <v>696</v>
      </c>
      <c r="E31" t="s">
        <v>697</v>
      </c>
      <c r="F31" t="s">
        <v>612</v>
      </c>
      <c r="G31" t="s">
        <v>613</v>
      </c>
      <c r="H31" t="s">
        <v>618</v>
      </c>
    </row>
    <row r="32" spans="1:8" x14ac:dyDescent="0.25">
      <c r="A32" t="s">
        <v>698</v>
      </c>
      <c r="B32" t="s">
        <v>699</v>
      </c>
      <c r="C32" t="s">
        <v>700</v>
      </c>
      <c r="D32" t="s">
        <v>701</v>
      </c>
      <c r="F32" t="s">
        <v>612</v>
      </c>
      <c r="G32" t="s">
        <v>613</v>
      </c>
      <c r="H32" t="s">
        <v>618</v>
      </c>
    </row>
    <row r="33" spans="1:8" x14ac:dyDescent="0.25">
      <c r="A33" t="s">
        <v>544</v>
      </c>
      <c r="B33" t="s">
        <v>702</v>
      </c>
      <c r="C33" t="s">
        <v>703</v>
      </c>
      <c r="D33" t="s">
        <v>704</v>
      </c>
      <c r="F33" t="s">
        <v>612</v>
      </c>
      <c r="G33" t="s">
        <v>613</v>
      </c>
      <c r="H33" t="s">
        <v>618</v>
      </c>
    </row>
    <row r="34" spans="1:8" x14ac:dyDescent="0.25">
      <c r="A34" t="s">
        <v>507</v>
      </c>
      <c r="B34" t="s">
        <v>705</v>
      </c>
      <c r="C34" t="s">
        <v>616</v>
      </c>
      <c r="D34" t="s">
        <v>706</v>
      </c>
      <c r="E34" t="s">
        <v>707</v>
      </c>
      <c r="F34" t="s">
        <v>612</v>
      </c>
      <c r="G34" t="s">
        <v>613</v>
      </c>
      <c r="H34" t="s">
        <v>618</v>
      </c>
    </row>
    <row r="35" spans="1:8" x14ac:dyDescent="0.25">
      <c r="A35" t="s">
        <v>708</v>
      </c>
      <c r="B35" t="s">
        <v>709</v>
      </c>
      <c r="C35" t="s">
        <v>703</v>
      </c>
      <c r="D35" t="s">
        <v>710</v>
      </c>
      <c r="F35" t="s">
        <v>612</v>
      </c>
      <c r="G35" t="s">
        <v>613</v>
      </c>
      <c r="H35" t="s">
        <v>618</v>
      </c>
    </row>
    <row r="36" spans="1:8" x14ac:dyDescent="0.25">
      <c r="A36" t="s">
        <v>309</v>
      </c>
      <c r="B36" t="s">
        <v>711</v>
      </c>
      <c r="C36" t="s">
        <v>712</v>
      </c>
      <c r="D36" t="s">
        <v>713</v>
      </c>
      <c r="E36" t="s">
        <v>714</v>
      </c>
      <c r="F36" t="s">
        <v>612</v>
      </c>
      <c r="G36" t="s">
        <v>613</v>
      </c>
      <c r="H36" t="s">
        <v>648</v>
      </c>
    </row>
    <row r="37" spans="1:8" x14ac:dyDescent="0.25">
      <c r="A37" t="s">
        <v>135</v>
      </c>
      <c r="B37" t="s">
        <v>715</v>
      </c>
      <c r="C37" t="s">
        <v>716</v>
      </c>
      <c r="D37" t="s">
        <v>717</v>
      </c>
      <c r="E37" t="s">
        <v>718</v>
      </c>
      <c r="F37" t="s">
        <v>612</v>
      </c>
      <c r="G37" t="s">
        <v>613</v>
      </c>
      <c r="H37" t="s">
        <v>655</v>
      </c>
    </row>
    <row r="38" spans="1:8" x14ac:dyDescent="0.25">
      <c r="A38" t="s">
        <v>719</v>
      </c>
      <c r="B38" t="s">
        <v>720</v>
      </c>
      <c r="C38" t="s">
        <v>700</v>
      </c>
      <c r="D38" t="s">
        <v>721</v>
      </c>
      <c r="F38" t="s">
        <v>612</v>
      </c>
      <c r="G38" t="s">
        <v>613</v>
      </c>
      <c r="H38" t="s">
        <v>618</v>
      </c>
    </row>
    <row r="39" spans="1:8" x14ac:dyDescent="0.25">
      <c r="A39" t="s">
        <v>722</v>
      </c>
      <c r="B39" t="s">
        <v>723</v>
      </c>
      <c r="C39" t="s">
        <v>168</v>
      </c>
      <c r="D39" t="s">
        <v>724</v>
      </c>
      <c r="E39" t="s">
        <v>725</v>
      </c>
      <c r="F39" t="s">
        <v>612</v>
      </c>
      <c r="G39" t="s">
        <v>613</v>
      </c>
      <c r="H39" t="s">
        <v>655</v>
      </c>
    </row>
    <row r="40" spans="1:8" x14ac:dyDescent="0.25">
      <c r="A40" t="s">
        <v>726</v>
      </c>
      <c r="B40" t="s">
        <v>727</v>
      </c>
      <c r="C40" t="s">
        <v>616</v>
      </c>
      <c r="D40" t="s">
        <v>728</v>
      </c>
      <c r="F40" t="s">
        <v>612</v>
      </c>
      <c r="G40" t="s">
        <v>613</v>
      </c>
      <c r="H40" t="s">
        <v>618</v>
      </c>
    </row>
    <row r="41" spans="1:8" x14ac:dyDescent="0.25">
      <c r="A41" t="s">
        <v>729</v>
      </c>
      <c r="B41" t="s">
        <v>730</v>
      </c>
      <c r="E41" t="s">
        <v>731</v>
      </c>
      <c r="F41" t="s">
        <v>612</v>
      </c>
      <c r="G41" t="s">
        <v>613</v>
      </c>
      <c r="H41" t="s">
        <v>655</v>
      </c>
    </row>
    <row r="42" spans="1:8" x14ac:dyDescent="0.25">
      <c r="A42" t="s">
        <v>732</v>
      </c>
      <c r="B42" t="s">
        <v>733</v>
      </c>
      <c r="C42" t="s">
        <v>640</v>
      </c>
      <c r="D42" t="s">
        <v>734</v>
      </c>
      <c r="F42" t="s">
        <v>612</v>
      </c>
      <c r="G42" t="s">
        <v>613</v>
      </c>
      <c r="H42" t="s">
        <v>618</v>
      </c>
    </row>
    <row r="43" spans="1:8" x14ac:dyDescent="0.25">
      <c r="A43" t="s">
        <v>735</v>
      </c>
      <c r="B43" t="s">
        <v>736</v>
      </c>
      <c r="C43" t="s">
        <v>700</v>
      </c>
      <c r="D43" t="s">
        <v>737</v>
      </c>
      <c r="E43" t="s">
        <v>738</v>
      </c>
      <c r="F43" t="s">
        <v>612</v>
      </c>
      <c r="G43" t="s">
        <v>613</v>
      </c>
      <c r="H43" t="s">
        <v>618</v>
      </c>
    </row>
    <row r="44" spans="1:8" x14ac:dyDescent="0.25">
      <c r="A44" t="s">
        <v>739</v>
      </c>
      <c r="B44" t="s">
        <v>740</v>
      </c>
      <c r="C44" t="s">
        <v>700</v>
      </c>
      <c r="D44" t="s">
        <v>741</v>
      </c>
      <c r="F44" t="s">
        <v>612</v>
      </c>
      <c r="G44" t="s">
        <v>613</v>
      </c>
      <c r="H44" t="s">
        <v>618</v>
      </c>
    </row>
    <row r="45" spans="1:8" x14ac:dyDescent="0.25">
      <c r="A45" t="s">
        <v>742</v>
      </c>
      <c r="B45" t="s">
        <v>743</v>
      </c>
      <c r="C45" t="s">
        <v>744</v>
      </c>
      <c r="D45" t="s">
        <v>745</v>
      </c>
      <c r="E45" t="s">
        <v>746</v>
      </c>
      <c r="F45" t="s">
        <v>612</v>
      </c>
      <c r="G45" t="s">
        <v>613</v>
      </c>
      <c r="H45" t="s">
        <v>618</v>
      </c>
    </row>
    <row r="46" spans="1:8" x14ac:dyDescent="0.25">
      <c r="A46" t="s">
        <v>747</v>
      </c>
      <c r="B46" t="s">
        <v>748</v>
      </c>
      <c r="C46" t="s">
        <v>749</v>
      </c>
      <c r="D46" t="s">
        <v>750</v>
      </c>
      <c r="F46" t="s">
        <v>612</v>
      </c>
      <c r="G46" t="s">
        <v>613</v>
      </c>
      <c r="H46" t="s">
        <v>618</v>
      </c>
    </row>
    <row r="47" spans="1:8" x14ac:dyDescent="0.25">
      <c r="A47" t="s">
        <v>584</v>
      </c>
      <c r="B47" t="s">
        <v>751</v>
      </c>
      <c r="C47" t="s">
        <v>752</v>
      </c>
      <c r="D47" t="s">
        <v>753</v>
      </c>
      <c r="E47" t="s">
        <v>754</v>
      </c>
      <c r="F47" t="s">
        <v>612</v>
      </c>
      <c r="G47" t="s">
        <v>613</v>
      </c>
      <c r="H47" t="s">
        <v>618</v>
      </c>
    </row>
    <row r="48" spans="1:8" x14ac:dyDescent="0.25">
      <c r="A48" t="s">
        <v>581</v>
      </c>
      <c r="B48" t="s">
        <v>755</v>
      </c>
      <c r="C48" t="s">
        <v>752</v>
      </c>
      <c r="D48" t="s">
        <v>756</v>
      </c>
      <c r="F48" t="s">
        <v>612</v>
      </c>
      <c r="G48" t="s">
        <v>613</v>
      </c>
      <c r="H48" t="s">
        <v>618</v>
      </c>
    </row>
    <row r="49" spans="1:8" x14ac:dyDescent="0.25">
      <c r="A49" t="s">
        <v>113</v>
      </c>
      <c r="B49" t="s">
        <v>757</v>
      </c>
      <c r="C49" t="s">
        <v>678</v>
      </c>
      <c r="D49" t="s">
        <v>758</v>
      </c>
      <c r="E49" t="s">
        <v>759</v>
      </c>
      <c r="F49" t="s">
        <v>612</v>
      </c>
      <c r="G49" t="s">
        <v>613</v>
      </c>
      <c r="H49" t="s">
        <v>681</v>
      </c>
    </row>
    <row r="50" spans="1:8" x14ac:dyDescent="0.25">
      <c r="A50" t="s">
        <v>760</v>
      </c>
      <c r="B50" t="s">
        <v>761</v>
      </c>
      <c r="C50" t="s">
        <v>749</v>
      </c>
      <c r="D50" t="s">
        <v>762</v>
      </c>
      <c r="F50" t="s">
        <v>612</v>
      </c>
      <c r="G50" t="s">
        <v>613</v>
      </c>
      <c r="H50" t="s">
        <v>618</v>
      </c>
    </row>
    <row r="51" spans="1:8" x14ac:dyDescent="0.25">
      <c r="A51" t="s">
        <v>254</v>
      </c>
      <c r="B51" t="s">
        <v>763</v>
      </c>
      <c r="C51" t="s">
        <v>86</v>
      </c>
      <c r="D51" t="s">
        <v>764</v>
      </c>
      <c r="E51" t="s">
        <v>765</v>
      </c>
      <c r="F51" t="s">
        <v>612</v>
      </c>
      <c r="G51" t="s">
        <v>613</v>
      </c>
      <c r="H51" t="s">
        <v>634</v>
      </c>
    </row>
    <row r="52" spans="1:8" x14ac:dyDescent="0.25">
      <c r="A52" t="s">
        <v>766</v>
      </c>
      <c r="B52" t="s">
        <v>767</v>
      </c>
      <c r="C52" t="s">
        <v>768</v>
      </c>
      <c r="D52" t="s">
        <v>769</v>
      </c>
      <c r="E52" t="s">
        <v>770</v>
      </c>
      <c r="F52" t="s">
        <v>612</v>
      </c>
      <c r="G52" t="s">
        <v>613</v>
      </c>
      <c r="H52" t="s">
        <v>655</v>
      </c>
    </row>
    <row r="53" spans="1:8" x14ac:dyDescent="0.25">
      <c r="A53" t="s">
        <v>186</v>
      </c>
      <c r="B53" t="s">
        <v>771</v>
      </c>
      <c r="C53" t="s">
        <v>673</v>
      </c>
      <c r="D53" t="s">
        <v>772</v>
      </c>
      <c r="E53" t="s">
        <v>773</v>
      </c>
      <c r="F53" t="s">
        <v>612</v>
      </c>
      <c r="G53" t="s">
        <v>613</v>
      </c>
      <c r="H53" t="s">
        <v>648</v>
      </c>
    </row>
    <row r="54" spans="1:8" x14ac:dyDescent="0.25">
      <c r="A54" t="s">
        <v>121</v>
      </c>
      <c r="B54" t="s">
        <v>774</v>
      </c>
      <c r="C54" t="s">
        <v>775</v>
      </c>
      <c r="D54" t="s">
        <v>769</v>
      </c>
      <c r="E54" t="s">
        <v>776</v>
      </c>
      <c r="F54" t="s">
        <v>612</v>
      </c>
      <c r="G54" t="s">
        <v>613</v>
      </c>
      <c r="H54" t="s">
        <v>655</v>
      </c>
    </row>
    <row r="55" spans="1:8" x14ac:dyDescent="0.25">
      <c r="A55" t="s">
        <v>777</v>
      </c>
      <c r="B55" t="s">
        <v>778</v>
      </c>
      <c r="C55" t="s">
        <v>779</v>
      </c>
      <c r="D55" t="s">
        <v>780</v>
      </c>
      <c r="E55" t="s">
        <v>781</v>
      </c>
      <c r="F55" t="s">
        <v>612</v>
      </c>
      <c r="G55" t="s">
        <v>613</v>
      </c>
      <c r="H55" t="s">
        <v>618</v>
      </c>
    </row>
    <row r="56" spans="1:8" x14ac:dyDescent="0.25">
      <c r="A56" t="s">
        <v>782</v>
      </c>
      <c r="B56" t="s">
        <v>783</v>
      </c>
      <c r="C56" t="s">
        <v>653</v>
      </c>
      <c r="D56" t="s">
        <v>784</v>
      </c>
      <c r="E56" t="s">
        <v>785</v>
      </c>
      <c r="F56" t="s">
        <v>612</v>
      </c>
      <c r="G56" t="s">
        <v>613</v>
      </c>
      <c r="H56" t="s">
        <v>655</v>
      </c>
    </row>
    <row r="57" spans="1:8" x14ac:dyDescent="0.25">
      <c r="A57" t="s">
        <v>273</v>
      </c>
      <c r="B57" t="s">
        <v>786</v>
      </c>
      <c r="C57" t="s">
        <v>86</v>
      </c>
      <c r="D57" t="s">
        <v>787</v>
      </c>
      <c r="E57" t="s">
        <v>788</v>
      </c>
      <c r="F57" t="s">
        <v>612</v>
      </c>
      <c r="G57" t="s">
        <v>613</v>
      </c>
      <c r="H57" t="s">
        <v>634</v>
      </c>
    </row>
    <row r="58" spans="1:8" x14ac:dyDescent="0.25">
      <c r="A58" t="s">
        <v>789</v>
      </c>
      <c r="B58" t="s">
        <v>790</v>
      </c>
      <c r="C58" t="s">
        <v>678</v>
      </c>
      <c r="D58" t="s">
        <v>791</v>
      </c>
      <c r="E58" t="s">
        <v>792</v>
      </c>
      <c r="F58" t="s">
        <v>612</v>
      </c>
      <c r="G58" t="s">
        <v>613</v>
      </c>
      <c r="H58" t="s">
        <v>681</v>
      </c>
    </row>
    <row r="59" spans="1:8" x14ac:dyDescent="0.25">
      <c r="A59" t="s">
        <v>793</v>
      </c>
      <c r="B59" t="s">
        <v>794</v>
      </c>
      <c r="C59" t="s">
        <v>795</v>
      </c>
      <c r="D59" t="s">
        <v>796</v>
      </c>
      <c r="E59" t="s">
        <v>797</v>
      </c>
      <c r="F59" t="s">
        <v>612</v>
      </c>
      <c r="G59" t="s">
        <v>613</v>
      </c>
      <c r="H59" t="s">
        <v>681</v>
      </c>
    </row>
    <row r="60" spans="1:8" x14ac:dyDescent="0.25">
      <c r="A60" t="s">
        <v>798</v>
      </c>
      <c r="B60" t="s">
        <v>799</v>
      </c>
      <c r="C60" t="s">
        <v>67</v>
      </c>
      <c r="D60" t="s">
        <v>800</v>
      </c>
      <c r="E60" t="s">
        <v>801</v>
      </c>
      <c r="F60" t="s">
        <v>612</v>
      </c>
      <c r="G60" t="s">
        <v>613</v>
      </c>
      <c r="H60" t="s">
        <v>655</v>
      </c>
    </row>
    <row r="61" spans="1:8" x14ac:dyDescent="0.25">
      <c r="A61" t="s">
        <v>210</v>
      </c>
      <c r="B61" t="s">
        <v>802</v>
      </c>
      <c r="C61" t="s">
        <v>211</v>
      </c>
      <c r="D61" t="s">
        <v>796</v>
      </c>
      <c r="E61" t="s">
        <v>803</v>
      </c>
      <c r="F61" t="s">
        <v>612</v>
      </c>
      <c r="G61" t="s">
        <v>613</v>
      </c>
      <c r="H61" t="s">
        <v>634</v>
      </c>
    </row>
    <row r="62" spans="1:8" x14ac:dyDescent="0.25">
      <c r="A62" t="s">
        <v>804</v>
      </c>
      <c r="B62" t="s">
        <v>805</v>
      </c>
      <c r="C62" t="s">
        <v>806</v>
      </c>
      <c r="D62" t="s">
        <v>791</v>
      </c>
      <c r="E62" t="s">
        <v>807</v>
      </c>
      <c r="F62" t="s">
        <v>612</v>
      </c>
      <c r="G62" t="s">
        <v>613</v>
      </c>
      <c r="H62" t="s">
        <v>634</v>
      </c>
    </row>
    <row r="63" spans="1:8" x14ac:dyDescent="0.25">
      <c r="A63" t="s">
        <v>134</v>
      </c>
      <c r="B63" t="s">
        <v>808</v>
      </c>
      <c r="C63" t="s">
        <v>173</v>
      </c>
      <c r="D63" t="s">
        <v>809</v>
      </c>
      <c r="E63" t="s">
        <v>810</v>
      </c>
      <c r="F63" t="s">
        <v>612</v>
      </c>
      <c r="G63" t="s">
        <v>613</v>
      </c>
      <c r="H63" t="s">
        <v>628</v>
      </c>
    </row>
    <row r="64" spans="1:8" x14ac:dyDescent="0.25">
      <c r="A64" t="s">
        <v>293</v>
      </c>
      <c r="B64" t="s">
        <v>811</v>
      </c>
      <c r="C64" t="s">
        <v>768</v>
      </c>
      <c r="D64" t="s">
        <v>769</v>
      </c>
      <c r="E64" t="s">
        <v>812</v>
      </c>
      <c r="F64" t="s">
        <v>612</v>
      </c>
      <c r="G64" t="s">
        <v>613</v>
      </c>
      <c r="H64" t="s">
        <v>655</v>
      </c>
    </row>
    <row r="65" spans="1:8" x14ac:dyDescent="0.25">
      <c r="A65" t="s">
        <v>376</v>
      </c>
      <c r="B65" t="s">
        <v>813</v>
      </c>
      <c r="C65" t="s">
        <v>814</v>
      </c>
      <c r="D65" t="s">
        <v>815</v>
      </c>
      <c r="E65" t="s">
        <v>816</v>
      </c>
      <c r="F65" t="s">
        <v>612</v>
      </c>
      <c r="G65" t="s">
        <v>613</v>
      </c>
      <c r="H65" t="s">
        <v>618</v>
      </c>
    </row>
    <row r="66" spans="1:8" x14ac:dyDescent="0.25">
      <c r="A66" t="s">
        <v>817</v>
      </c>
      <c r="B66" t="s">
        <v>818</v>
      </c>
      <c r="C66" t="s">
        <v>819</v>
      </c>
      <c r="D66" t="s">
        <v>820</v>
      </c>
      <c r="E66" t="s">
        <v>821</v>
      </c>
      <c r="F66" t="s">
        <v>612</v>
      </c>
      <c r="G66" t="s">
        <v>613</v>
      </c>
      <c r="H66" t="s">
        <v>655</v>
      </c>
    </row>
    <row r="67" spans="1:8" x14ac:dyDescent="0.25">
      <c r="A67" t="s">
        <v>42</v>
      </c>
      <c r="B67" t="s">
        <v>822</v>
      </c>
      <c r="C67" t="s">
        <v>749</v>
      </c>
      <c r="D67" t="s">
        <v>823</v>
      </c>
      <c r="E67" t="s">
        <v>824</v>
      </c>
      <c r="F67" t="s">
        <v>612</v>
      </c>
      <c r="G67" t="s">
        <v>613</v>
      </c>
      <c r="H67" t="s">
        <v>618</v>
      </c>
    </row>
    <row r="68" spans="1:8" x14ac:dyDescent="0.25">
      <c r="A68" t="s">
        <v>343</v>
      </c>
      <c r="B68" t="s">
        <v>825</v>
      </c>
      <c r="C68" t="s">
        <v>775</v>
      </c>
      <c r="D68" t="s">
        <v>769</v>
      </c>
      <c r="E68" t="s">
        <v>826</v>
      </c>
      <c r="F68" t="s">
        <v>612</v>
      </c>
      <c r="G68" t="s">
        <v>613</v>
      </c>
      <c r="H68" t="s">
        <v>655</v>
      </c>
    </row>
    <row r="69" spans="1:8" x14ac:dyDescent="0.25">
      <c r="A69" t="s">
        <v>827</v>
      </c>
      <c r="B69" t="s">
        <v>828</v>
      </c>
      <c r="C69" t="s">
        <v>829</v>
      </c>
      <c r="D69" t="s">
        <v>791</v>
      </c>
      <c r="E69" t="s">
        <v>830</v>
      </c>
      <c r="F69" t="s">
        <v>612</v>
      </c>
      <c r="G69" t="s">
        <v>613</v>
      </c>
      <c r="H69" t="s">
        <v>655</v>
      </c>
    </row>
    <row r="70" spans="1:8" x14ac:dyDescent="0.25">
      <c r="A70" t="s">
        <v>831</v>
      </c>
      <c r="B70" t="s">
        <v>832</v>
      </c>
      <c r="C70" t="s">
        <v>752</v>
      </c>
      <c r="D70" t="s">
        <v>833</v>
      </c>
      <c r="E70" t="s">
        <v>834</v>
      </c>
      <c r="F70" t="s">
        <v>612</v>
      </c>
      <c r="G70" t="s">
        <v>613</v>
      </c>
      <c r="H70" t="s">
        <v>618</v>
      </c>
    </row>
    <row r="71" spans="1:8" x14ac:dyDescent="0.25">
      <c r="A71" t="s">
        <v>258</v>
      </c>
      <c r="B71" t="s">
        <v>835</v>
      </c>
      <c r="C71" t="s">
        <v>836</v>
      </c>
      <c r="D71" t="s">
        <v>837</v>
      </c>
      <c r="E71" t="s">
        <v>838</v>
      </c>
      <c r="F71" t="s">
        <v>612</v>
      </c>
      <c r="G71" t="s">
        <v>613</v>
      </c>
      <c r="H71" t="s">
        <v>634</v>
      </c>
    </row>
    <row r="72" spans="1:8" x14ac:dyDescent="0.25">
      <c r="A72" t="s">
        <v>493</v>
      </c>
      <c r="B72" t="s">
        <v>839</v>
      </c>
      <c r="C72" t="s">
        <v>840</v>
      </c>
      <c r="D72" t="s">
        <v>769</v>
      </c>
      <c r="F72" t="s">
        <v>612</v>
      </c>
      <c r="G72" t="s">
        <v>613</v>
      </c>
      <c r="H72" t="s">
        <v>618</v>
      </c>
    </row>
    <row r="73" spans="1:8" x14ac:dyDescent="0.25">
      <c r="A73" t="s">
        <v>183</v>
      </c>
      <c r="B73" t="s">
        <v>841</v>
      </c>
      <c r="C73" t="s">
        <v>673</v>
      </c>
      <c r="D73" t="s">
        <v>842</v>
      </c>
      <c r="E73" t="s">
        <v>843</v>
      </c>
      <c r="F73" t="s">
        <v>612</v>
      </c>
      <c r="G73" t="s">
        <v>613</v>
      </c>
      <c r="H73" t="s">
        <v>648</v>
      </c>
    </row>
    <row r="74" spans="1:8" x14ac:dyDescent="0.25">
      <c r="A74" t="s">
        <v>844</v>
      </c>
      <c r="B74" t="s">
        <v>845</v>
      </c>
      <c r="C74" t="s">
        <v>700</v>
      </c>
      <c r="D74" t="s">
        <v>846</v>
      </c>
      <c r="E74" t="s">
        <v>847</v>
      </c>
      <c r="F74" t="s">
        <v>612</v>
      </c>
      <c r="G74" t="s">
        <v>613</v>
      </c>
      <c r="H74" t="s">
        <v>618</v>
      </c>
    </row>
    <row r="75" spans="1:8" x14ac:dyDescent="0.25">
      <c r="A75" t="s">
        <v>848</v>
      </c>
      <c r="B75" t="s">
        <v>849</v>
      </c>
      <c r="C75" t="s">
        <v>700</v>
      </c>
      <c r="D75" t="s">
        <v>850</v>
      </c>
      <c r="E75" t="s">
        <v>851</v>
      </c>
      <c r="F75" t="s">
        <v>612</v>
      </c>
      <c r="G75" t="s">
        <v>613</v>
      </c>
      <c r="H75" t="s">
        <v>618</v>
      </c>
    </row>
    <row r="76" spans="1:8" x14ac:dyDescent="0.25">
      <c r="A76" t="s">
        <v>852</v>
      </c>
      <c r="B76" t="s">
        <v>853</v>
      </c>
      <c r="C76" t="s">
        <v>621</v>
      </c>
      <c r="D76" t="s">
        <v>854</v>
      </c>
      <c r="F76" t="s">
        <v>612</v>
      </c>
      <c r="G76" t="s">
        <v>613</v>
      </c>
      <c r="H76" t="s">
        <v>618</v>
      </c>
    </row>
    <row r="77" spans="1:8" x14ac:dyDescent="0.25">
      <c r="A77" t="s">
        <v>356</v>
      </c>
      <c r="B77" t="s">
        <v>855</v>
      </c>
      <c r="C77" t="s">
        <v>856</v>
      </c>
      <c r="D77" t="s">
        <v>857</v>
      </c>
      <c r="F77" t="s">
        <v>612</v>
      </c>
      <c r="G77" t="s">
        <v>613</v>
      </c>
      <c r="H77" t="s">
        <v>634</v>
      </c>
    </row>
    <row r="78" spans="1:8" x14ac:dyDescent="0.25">
      <c r="A78" t="s">
        <v>858</v>
      </c>
      <c r="B78" t="s">
        <v>859</v>
      </c>
      <c r="C78" t="s">
        <v>67</v>
      </c>
      <c r="D78" t="s">
        <v>860</v>
      </c>
      <c r="E78" t="s">
        <v>861</v>
      </c>
      <c r="F78" t="s">
        <v>612</v>
      </c>
      <c r="G78" t="s">
        <v>613</v>
      </c>
      <c r="H78" t="s">
        <v>655</v>
      </c>
    </row>
    <row r="79" spans="1:8" x14ac:dyDescent="0.25">
      <c r="A79" t="s">
        <v>862</v>
      </c>
      <c r="B79" t="s">
        <v>863</v>
      </c>
      <c r="E79" t="s">
        <v>864</v>
      </c>
      <c r="F79" t="s">
        <v>612</v>
      </c>
      <c r="G79" t="s">
        <v>613</v>
      </c>
      <c r="H79" t="s">
        <v>655</v>
      </c>
    </row>
    <row r="80" spans="1:8" x14ac:dyDescent="0.25">
      <c r="A80" t="s">
        <v>865</v>
      </c>
      <c r="B80" t="s">
        <v>866</v>
      </c>
      <c r="C80" t="s">
        <v>856</v>
      </c>
      <c r="D80" t="s">
        <v>867</v>
      </c>
      <c r="F80" t="s">
        <v>612</v>
      </c>
      <c r="G80" t="s">
        <v>613</v>
      </c>
      <c r="H80" t="s">
        <v>634</v>
      </c>
    </row>
    <row r="81" spans="1:8" x14ac:dyDescent="0.25">
      <c r="A81" t="s">
        <v>447</v>
      </c>
      <c r="B81" t="s">
        <v>872</v>
      </c>
      <c r="C81" t="s">
        <v>840</v>
      </c>
      <c r="D81" t="s">
        <v>873</v>
      </c>
      <c r="E81" t="s">
        <v>874</v>
      </c>
      <c r="F81" t="s">
        <v>612</v>
      </c>
      <c r="G81" t="s">
        <v>613</v>
      </c>
      <c r="H81" t="s">
        <v>618</v>
      </c>
    </row>
    <row r="82" spans="1:8" x14ac:dyDescent="0.25">
      <c r="A82" t="s">
        <v>381</v>
      </c>
      <c r="B82" t="s">
        <v>875</v>
      </c>
      <c r="C82" t="s">
        <v>876</v>
      </c>
      <c r="D82" t="s">
        <v>877</v>
      </c>
      <c r="F82" t="s">
        <v>612</v>
      </c>
      <c r="G82" t="s">
        <v>613</v>
      </c>
      <c r="H82" t="s">
        <v>618</v>
      </c>
    </row>
    <row r="83" spans="1:8" x14ac:dyDescent="0.25">
      <c r="A83" t="s">
        <v>878</v>
      </c>
      <c r="B83" t="s">
        <v>879</v>
      </c>
      <c r="C83" t="s">
        <v>653</v>
      </c>
      <c r="D83" t="s">
        <v>880</v>
      </c>
      <c r="E83" t="s">
        <v>881</v>
      </c>
      <c r="F83" t="s">
        <v>612</v>
      </c>
      <c r="G83" t="s">
        <v>613</v>
      </c>
      <c r="H83" t="s">
        <v>655</v>
      </c>
    </row>
    <row r="84" spans="1:8" x14ac:dyDescent="0.25">
      <c r="A84" t="s">
        <v>525</v>
      </c>
      <c r="B84" t="s">
        <v>882</v>
      </c>
      <c r="C84" t="s">
        <v>616</v>
      </c>
      <c r="D84" t="s">
        <v>883</v>
      </c>
      <c r="F84" t="s">
        <v>612</v>
      </c>
      <c r="G84" t="s">
        <v>613</v>
      </c>
      <c r="H84" t="s">
        <v>618</v>
      </c>
    </row>
    <row r="85" spans="1:8" x14ac:dyDescent="0.25">
      <c r="A85" t="s">
        <v>422</v>
      </c>
      <c r="B85" t="s">
        <v>884</v>
      </c>
      <c r="C85" t="s">
        <v>616</v>
      </c>
      <c r="D85" t="s">
        <v>885</v>
      </c>
      <c r="E85" t="s">
        <v>886</v>
      </c>
      <c r="F85" t="s">
        <v>612</v>
      </c>
      <c r="G85" t="s">
        <v>613</v>
      </c>
      <c r="H85" t="s">
        <v>618</v>
      </c>
    </row>
    <row r="86" spans="1:8" x14ac:dyDescent="0.25">
      <c r="A86" t="s">
        <v>266</v>
      </c>
      <c r="B86" t="s">
        <v>887</v>
      </c>
      <c r="C86" t="s">
        <v>86</v>
      </c>
      <c r="D86" t="s">
        <v>888</v>
      </c>
      <c r="E86" t="s">
        <v>889</v>
      </c>
      <c r="F86" t="s">
        <v>612</v>
      </c>
      <c r="G86" t="s">
        <v>613</v>
      </c>
      <c r="H86" t="s">
        <v>634</v>
      </c>
    </row>
    <row r="87" spans="1:8" x14ac:dyDescent="0.25">
      <c r="A87" t="s">
        <v>286</v>
      </c>
      <c r="B87" t="s">
        <v>890</v>
      </c>
      <c r="C87" t="s">
        <v>836</v>
      </c>
      <c r="D87" t="s">
        <v>769</v>
      </c>
      <c r="E87" t="s">
        <v>891</v>
      </c>
      <c r="F87" t="s">
        <v>612</v>
      </c>
      <c r="G87" t="s">
        <v>613</v>
      </c>
      <c r="H87" t="s">
        <v>892</v>
      </c>
    </row>
    <row r="88" spans="1:8" x14ac:dyDescent="0.25">
      <c r="A88" t="s">
        <v>491</v>
      </c>
      <c r="B88" t="s">
        <v>893</v>
      </c>
      <c r="C88" t="s">
        <v>700</v>
      </c>
      <c r="D88" t="s">
        <v>894</v>
      </c>
      <c r="F88" t="s">
        <v>612</v>
      </c>
      <c r="G88" t="s">
        <v>613</v>
      </c>
      <c r="H88" t="s">
        <v>618</v>
      </c>
    </row>
    <row r="89" spans="1:8" x14ac:dyDescent="0.25">
      <c r="A89" t="s">
        <v>895</v>
      </c>
      <c r="B89" t="s">
        <v>896</v>
      </c>
      <c r="C89" t="s">
        <v>897</v>
      </c>
      <c r="D89" t="s">
        <v>898</v>
      </c>
      <c r="E89" t="s">
        <v>899</v>
      </c>
      <c r="F89" t="s">
        <v>612</v>
      </c>
      <c r="G89" t="s">
        <v>613</v>
      </c>
      <c r="H89" t="s">
        <v>655</v>
      </c>
    </row>
    <row r="90" spans="1:8" x14ac:dyDescent="0.25">
      <c r="A90" t="s">
        <v>900</v>
      </c>
      <c r="B90" t="s">
        <v>901</v>
      </c>
      <c r="C90" t="s">
        <v>749</v>
      </c>
      <c r="D90" t="s">
        <v>902</v>
      </c>
      <c r="E90" t="s">
        <v>903</v>
      </c>
      <c r="F90" t="s">
        <v>612</v>
      </c>
      <c r="G90" t="s">
        <v>613</v>
      </c>
      <c r="H90" t="s">
        <v>618</v>
      </c>
    </row>
    <row r="91" spans="1:8" x14ac:dyDescent="0.25">
      <c r="A91" t="s">
        <v>904</v>
      </c>
      <c r="B91" t="s">
        <v>905</v>
      </c>
      <c r="C91" t="s">
        <v>906</v>
      </c>
      <c r="D91" t="s">
        <v>907</v>
      </c>
      <c r="E91" t="s">
        <v>908</v>
      </c>
      <c r="F91" t="s">
        <v>612</v>
      </c>
      <c r="G91" t="s">
        <v>613</v>
      </c>
      <c r="H91" t="s">
        <v>648</v>
      </c>
    </row>
    <row r="92" spans="1:8" x14ac:dyDescent="0.25">
      <c r="A92" t="s">
        <v>30</v>
      </c>
      <c r="B92" t="s">
        <v>909</v>
      </c>
      <c r="C92" t="s">
        <v>700</v>
      </c>
      <c r="D92" t="s">
        <v>910</v>
      </c>
      <c r="E92" t="s">
        <v>911</v>
      </c>
      <c r="F92" t="s">
        <v>612</v>
      </c>
      <c r="G92" t="s">
        <v>613</v>
      </c>
      <c r="H92" t="s">
        <v>618</v>
      </c>
    </row>
    <row r="93" spans="1:8" x14ac:dyDescent="0.25">
      <c r="A93" t="s">
        <v>912</v>
      </c>
      <c r="B93" t="s">
        <v>913</v>
      </c>
      <c r="C93" t="s">
        <v>914</v>
      </c>
      <c r="D93" t="s">
        <v>769</v>
      </c>
      <c r="E93" t="s">
        <v>915</v>
      </c>
      <c r="F93" t="s">
        <v>612</v>
      </c>
      <c r="G93" t="s">
        <v>613</v>
      </c>
      <c r="H93" t="s">
        <v>655</v>
      </c>
    </row>
    <row r="94" spans="1:8" x14ac:dyDescent="0.25">
      <c r="A94" t="s">
        <v>916</v>
      </c>
      <c r="B94" t="s">
        <v>917</v>
      </c>
      <c r="C94" t="s">
        <v>918</v>
      </c>
      <c r="D94" t="s">
        <v>919</v>
      </c>
      <c r="E94" t="s">
        <v>920</v>
      </c>
      <c r="F94" t="s">
        <v>612</v>
      </c>
      <c r="G94" t="s">
        <v>613</v>
      </c>
      <c r="H94" t="s">
        <v>648</v>
      </c>
    </row>
    <row r="95" spans="1:8" x14ac:dyDescent="0.25">
      <c r="A95" t="s">
        <v>921</v>
      </c>
      <c r="B95" t="s">
        <v>922</v>
      </c>
      <c r="C95" t="s">
        <v>640</v>
      </c>
      <c r="D95" t="s">
        <v>923</v>
      </c>
      <c r="F95" t="s">
        <v>612</v>
      </c>
      <c r="G95" t="s">
        <v>613</v>
      </c>
      <c r="H95" t="s">
        <v>618</v>
      </c>
    </row>
    <row r="96" spans="1:8" x14ac:dyDescent="0.25">
      <c r="A96" t="s">
        <v>502</v>
      </c>
      <c r="B96" t="s">
        <v>924</v>
      </c>
      <c r="C96" t="s">
        <v>925</v>
      </c>
      <c r="D96" t="s">
        <v>926</v>
      </c>
      <c r="E96" t="s">
        <v>927</v>
      </c>
      <c r="F96" t="s">
        <v>612</v>
      </c>
      <c r="G96" t="s">
        <v>613</v>
      </c>
      <c r="H96" t="s">
        <v>618</v>
      </c>
    </row>
    <row r="97" spans="1:8" x14ac:dyDescent="0.25">
      <c r="A97" t="s">
        <v>548</v>
      </c>
      <c r="B97" t="s">
        <v>928</v>
      </c>
      <c r="C97" t="s">
        <v>640</v>
      </c>
      <c r="D97" t="s">
        <v>929</v>
      </c>
      <c r="E97" t="s">
        <v>930</v>
      </c>
      <c r="F97" t="s">
        <v>612</v>
      </c>
      <c r="G97" t="s">
        <v>613</v>
      </c>
      <c r="H97" t="s">
        <v>618</v>
      </c>
    </row>
    <row r="98" spans="1:8" x14ac:dyDescent="0.25">
      <c r="A98" t="s">
        <v>233</v>
      </c>
      <c r="B98" t="s">
        <v>931</v>
      </c>
      <c r="C98" t="s">
        <v>86</v>
      </c>
      <c r="D98" t="s">
        <v>932</v>
      </c>
      <c r="E98" t="s">
        <v>933</v>
      </c>
      <c r="F98" t="s">
        <v>612</v>
      </c>
      <c r="G98" t="s">
        <v>613</v>
      </c>
      <c r="H98" t="s">
        <v>634</v>
      </c>
    </row>
    <row r="99" spans="1:8" x14ac:dyDescent="0.25">
      <c r="A99" t="s">
        <v>476</v>
      </c>
      <c r="B99" t="s">
        <v>934</v>
      </c>
      <c r="C99" t="s">
        <v>640</v>
      </c>
      <c r="D99" t="s">
        <v>935</v>
      </c>
      <c r="E99" t="s">
        <v>936</v>
      </c>
      <c r="F99" t="s">
        <v>612</v>
      </c>
      <c r="G99" t="s">
        <v>613</v>
      </c>
      <c r="H99" t="s">
        <v>618</v>
      </c>
    </row>
    <row r="100" spans="1:8" x14ac:dyDescent="0.25">
      <c r="A100" t="s">
        <v>937</v>
      </c>
      <c r="B100" t="s">
        <v>938</v>
      </c>
      <c r="C100" t="s">
        <v>749</v>
      </c>
      <c r="D100" t="s">
        <v>939</v>
      </c>
      <c r="E100" t="s">
        <v>940</v>
      </c>
      <c r="F100" t="s">
        <v>612</v>
      </c>
      <c r="G100" t="s">
        <v>613</v>
      </c>
      <c r="H100" t="s">
        <v>618</v>
      </c>
    </row>
    <row r="101" spans="1:8" x14ac:dyDescent="0.25">
      <c r="A101" t="s">
        <v>941</v>
      </c>
      <c r="B101" t="s">
        <v>942</v>
      </c>
      <c r="C101" t="s">
        <v>943</v>
      </c>
      <c r="D101" t="s">
        <v>944</v>
      </c>
      <c r="E101" t="s">
        <v>945</v>
      </c>
      <c r="F101" t="s">
        <v>612</v>
      </c>
      <c r="G101" t="s">
        <v>613</v>
      </c>
      <c r="H101" t="s">
        <v>648</v>
      </c>
    </row>
    <row r="102" spans="1:8" x14ac:dyDescent="0.25">
      <c r="A102" t="s">
        <v>946</v>
      </c>
      <c r="B102" t="s">
        <v>947</v>
      </c>
      <c r="C102" t="s">
        <v>749</v>
      </c>
      <c r="D102" t="s">
        <v>948</v>
      </c>
      <c r="E102" t="s">
        <v>949</v>
      </c>
      <c r="F102" t="s">
        <v>612</v>
      </c>
      <c r="G102" t="s">
        <v>613</v>
      </c>
      <c r="H102" t="s">
        <v>618</v>
      </c>
    </row>
    <row r="103" spans="1:8" x14ac:dyDescent="0.25">
      <c r="A103" t="s">
        <v>950</v>
      </c>
      <c r="B103" t="s">
        <v>951</v>
      </c>
      <c r="C103" t="s">
        <v>640</v>
      </c>
      <c r="D103" t="s">
        <v>952</v>
      </c>
      <c r="E103" t="s">
        <v>953</v>
      </c>
      <c r="F103" t="s">
        <v>612</v>
      </c>
      <c r="G103" t="s">
        <v>613</v>
      </c>
      <c r="H103" t="s">
        <v>618</v>
      </c>
    </row>
    <row r="104" spans="1:8" x14ac:dyDescent="0.25">
      <c r="A104" t="s">
        <v>455</v>
      </c>
      <c r="B104" t="s">
        <v>954</v>
      </c>
      <c r="C104" t="s">
        <v>749</v>
      </c>
      <c r="D104" t="s">
        <v>955</v>
      </c>
      <c r="E104" t="s">
        <v>956</v>
      </c>
      <c r="F104" t="s">
        <v>612</v>
      </c>
      <c r="G104" t="s">
        <v>613</v>
      </c>
      <c r="H104" t="s">
        <v>618</v>
      </c>
    </row>
    <row r="105" spans="1:8" x14ac:dyDescent="0.25">
      <c r="A105" t="s">
        <v>582</v>
      </c>
      <c r="B105" t="s">
        <v>957</v>
      </c>
      <c r="C105" t="s">
        <v>752</v>
      </c>
      <c r="D105" t="s">
        <v>958</v>
      </c>
      <c r="E105" t="s">
        <v>959</v>
      </c>
      <c r="F105" t="s">
        <v>612</v>
      </c>
      <c r="G105" t="s">
        <v>613</v>
      </c>
      <c r="H105" t="s">
        <v>618</v>
      </c>
    </row>
    <row r="106" spans="1:8" x14ac:dyDescent="0.25">
      <c r="A106" t="s">
        <v>960</v>
      </c>
      <c r="B106" t="s">
        <v>961</v>
      </c>
      <c r="C106" t="s">
        <v>962</v>
      </c>
      <c r="D106" t="s">
        <v>963</v>
      </c>
      <c r="E106" t="s">
        <v>964</v>
      </c>
      <c r="F106" t="s">
        <v>612</v>
      </c>
      <c r="G106" t="s">
        <v>613</v>
      </c>
      <c r="H106" t="s">
        <v>648</v>
      </c>
    </row>
    <row r="107" spans="1:8" x14ac:dyDescent="0.25">
      <c r="A107" t="s">
        <v>965</v>
      </c>
      <c r="B107" t="s">
        <v>966</v>
      </c>
      <c r="C107" t="s">
        <v>67</v>
      </c>
      <c r="D107" t="s">
        <v>967</v>
      </c>
      <c r="E107" t="s">
        <v>968</v>
      </c>
      <c r="F107" t="s">
        <v>612</v>
      </c>
      <c r="G107" t="s">
        <v>613</v>
      </c>
      <c r="H107" t="s">
        <v>655</v>
      </c>
    </row>
    <row r="108" spans="1:8" x14ac:dyDescent="0.25">
      <c r="A108" t="s">
        <v>250</v>
      </c>
      <c r="B108" t="s">
        <v>969</v>
      </c>
      <c r="C108" t="s">
        <v>86</v>
      </c>
      <c r="D108" t="s">
        <v>970</v>
      </c>
      <c r="E108" t="s">
        <v>971</v>
      </c>
      <c r="F108" t="s">
        <v>612</v>
      </c>
      <c r="G108" t="s">
        <v>613</v>
      </c>
      <c r="H108" t="s">
        <v>634</v>
      </c>
    </row>
    <row r="109" spans="1:8" x14ac:dyDescent="0.25">
      <c r="A109" t="s">
        <v>271</v>
      </c>
      <c r="B109" t="s">
        <v>972</v>
      </c>
      <c r="C109" t="s">
        <v>661</v>
      </c>
      <c r="D109" t="s">
        <v>973</v>
      </c>
      <c r="F109" t="s">
        <v>612</v>
      </c>
      <c r="G109" t="s">
        <v>613</v>
      </c>
      <c r="H109" t="s">
        <v>634</v>
      </c>
    </row>
    <row r="110" spans="1:8" x14ac:dyDescent="0.25">
      <c r="A110" t="s">
        <v>974</v>
      </c>
      <c r="B110" t="s">
        <v>975</v>
      </c>
      <c r="C110" t="s">
        <v>86</v>
      </c>
      <c r="D110" t="s">
        <v>929</v>
      </c>
      <c r="F110" t="s">
        <v>612</v>
      </c>
      <c r="G110" t="s">
        <v>613</v>
      </c>
      <c r="H110" t="s">
        <v>634</v>
      </c>
    </row>
    <row r="111" spans="1:8" x14ac:dyDescent="0.25">
      <c r="A111" t="s">
        <v>260</v>
      </c>
      <c r="B111" t="s">
        <v>976</v>
      </c>
      <c r="C111" t="s">
        <v>86</v>
      </c>
      <c r="D111" t="s">
        <v>977</v>
      </c>
      <c r="F111" t="s">
        <v>612</v>
      </c>
      <c r="G111" t="s">
        <v>613</v>
      </c>
      <c r="H111" t="s">
        <v>634</v>
      </c>
    </row>
    <row r="112" spans="1:8" x14ac:dyDescent="0.25">
      <c r="A112" t="s">
        <v>978</v>
      </c>
      <c r="B112" t="s">
        <v>979</v>
      </c>
      <c r="C112" t="s">
        <v>980</v>
      </c>
      <c r="D112" t="s">
        <v>981</v>
      </c>
      <c r="E112" t="s">
        <v>982</v>
      </c>
      <c r="F112" t="s">
        <v>612</v>
      </c>
      <c r="G112" t="s">
        <v>613</v>
      </c>
      <c r="H112" t="s">
        <v>655</v>
      </c>
    </row>
    <row r="113" spans="1:8" x14ac:dyDescent="0.25">
      <c r="A113" t="s">
        <v>983</v>
      </c>
      <c r="B113" t="s">
        <v>984</v>
      </c>
      <c r="C113" t="s">
        <v>700</v>
      </c>
      <c r="D113" t="s">
        <v>985</v>
      </c>
      <c r="E113" t="s">
        <v>986</v>
      </c>
      <c r="F113" t="s">
        <v>612</v>
      </c>
      <c r="G113" t="s">
        <v>613</v>
      </c>
      <c r="H113" t="s">
        <v>618</v>
      </c>
    </row>
    <row r="114" spans="1:8" x14ac:dyDescent="0.25">
      <c r="A114" t="s">
        <v>987</v>
      </c>
      <c r="B114" t="s">
        <v>988</v>
      </c>
      <c r="C114" t="s">
        <v>989</v>
      </c>
      <c r="D114" t="s">
        <v>877</v>
      </c>
      <c r="E114" t="s">
        <v>990</v>
      </c>
      <c r="F114" t="s">
        <v>612</v>
      </c>
      <c r="G114" t="s">
        <v>613</v>
      </c>
      <c r="H114" t="s">
        <v>648</v>
      </c>
    </row>
    <row r="115" spans="1:8" x14ac:dyDescent="0.25">
      <c r="A115" t="s">
        <v>991</v>
      </c>
      <c r="B115" t="s">
        <v>992</v>
      </c>
      <c r="C115" t="s">
        <v>993</v>
      </c>
      <c r="D115" t="s">
        <v>994</v>
      </c>
      <c r="E115" t="s">
        <v>995</v>
      </c>
      <c r="F115" t="s">
        <v>612</v>
      </c>
      <c r="G115" t="s">
        <v>613</v>
      </c>
      <c r="H115" t="s">
        <v>681</v>
      </c>
    </row>
    <row r="116" spans="1:8" x14ac:dyDescent="0.25">
      <c r="A116" t="s">
        <v>448</v>
      </c>
      <c r="B116" t="s">
        <v>996</v>
      </c>
      <c r="C116" t="s">
        <v>840</v>
      </c>
      <c r="D116" t="s">
        <v>955</v>
      </c>
      <c r="E116" t="s">
        <v>997</v>
      </c>
      <c r="F116" t="s">
        <v>612</v>
      </c>
      <c r="G116" t="s">
        <v>613</v>
      </c>
      <c r="H116" t="s">
        <v>618</v>
      </c>
    </row>
    <row r="117" spans="1:8" x14ac:dyDescent="0.25">
      <c r="A117" t="s">
        <v>998</v>
      </c>
      <c r="B117" t="s">
        <v>999</v>
      </c>
      <c r="E117" t="s">
        <v>1000</v>
      </c>
      <c r="F117" t="s">
        <v>612</v>
      </c>
      <c r="G117" t="s">
        <v>613</v>
      </c>
      <c r="H117" t="s">
        <v>618</v>
      </c>
    </row>
    <row r="118" spans="1:8" x14ac:dyDescent="0.25">
      <c r="A118" t="s">
        <v>1001</v>
      </c>
      <c r="B118" t="s">
        <v>1002</v>
      </c>
      <c r="C118" t="s">
        <v>1003</v>
      </c>
      <c r="D118" t="s">
        <v>1004</v>
      </c>
      <c r="E118" t="s">
        <v>1005</v>
      </c>
      <c r="F118" t="s">
        <v>612</v>
      </c>
      <c r="G118" t="s">
        <v>613</v>
      </c>
      <c r="H118" t="s">
        <v>648</v>
      </c>
    </row>
    <row r="119" spans="1:8" x14ac:dyDescent="0.25">
      <c r="A119" t="s">
        <v>1006</v>
      </c>
      <c r="B119" t="s">
        <v>1007</v>
      </c>
      <c r="C119" t="s">
        <v>716</v>
      </c>
      <c r="D119" t="s">
        <v>1008</v>
      </c>
      <c r="E119" t="s">
        <v>1009</v>
      </c>
      <c r="F119" t="s">
        <v>612</v>
      </c>
      <c r="G119" t="s">
        <v>613</v>
      </c>
      <c r="H119" t="s">
        <v>655</v>
      </c>
    </row>
    <row r="120" spans="1:8" x14ac:dyDescent="0.25">
      <c r="A120" t="s">
        <v>1010</v>
      </c>
      <c r="B120" t="s">
        <v>1011</v>
      </c>
      <c r="C120" t="s">
        <v>1012</v>
      </c>
      <c r="D120" t="s">
        <v>1013</v>
      </c>
      <c r="E120" t="s">
        <v>1014</v>
      </c>
      <c r="F120" t="s">
        <v>612</v>
      </c>
      <c r="G120" t="s">
        <v>613</v>
      </c>
      <c r="H120" t="s">
        <v>618</v>
      </c>
    </row>
    <row r="121" spans="1:8" x14ac:dyDescent="0.25">
      <c r="A121" t="s">
        <v>1015</v>
      </c>
      <c r="B121" t="s">
        <v>1016</v>
      </c>
      <c r="C121" t="s">
        <v>768</v>
      </c>
      <c r="D121" t="s">
        <v>769</v>
      </c>
      <c r="E121" t="s">
        <v>1017</v>
      </c>
      <c r="F121" t="s">
        <v>612</v>
      </c>
      <c r="G121" t="s">
        <v>613</v>
      </c>
      <c r="H121" t="s">
        <v>655</v>
      </c>
    </row>
    <row r="122" spans="1:8" x14ac:dyDescent="0.25">
      <c r="A122" t="s">
        <v>1018</v>
      </c>
      <c r="B122" t="s">
        <v>1019</v>
      </c>
      <c r="C122" t="s">
        <v>749</v>
      </c>
      <c r="D122" t="s">
        <v>1020</v>
      </c>
      <c r="F122" t="s">
        <v>612</v>
      </c>
      <c r="G122" t="s">
        <v>613</v>
      </c>
      <c r="H122" t="s">
        <v>618</v>
      </c>
    </row>
    <row r="123" spans="1:8" x14ac:dyDescent="0.25">
      <c r="A123" t="s">
        <v>334</v>
      </c>
      <c r="B123" t="s">
        <v>1021</v>
      </c>
      <c r="C123" t="s">
        <v>1022</v>
      </c>
      <c r="D123" t="s">
        <v>1023</v>
      </c>
      <c r="E123" t="s">
        <v>1024</v>
      </c>
      <c r="F123" t="s">
        <v>612</v>
      </c>
      <c r="G123" t="s">
        <v>613</v>
      </c>
      <c r="H123" t="s">
        <v>681</v>
      </c>
    </row>
    <row r="124" spans="1:8" x14ac:dyDescent="0.25">
      <c r="A124" t="s">
        <v>301</v>
      </c>
      <c r="B124" t="s">
        <v>1026</v>
      </c>
      <c r="C124" t="s">
        <v>1027</v>
      </c>
      <c r="D124" t="s">
        <v>1028</v>
      </c>
      <c r="E124" t="s">
        <v>1029</v>
      </c>
      <c r="F124" t="s">
        <v>612</v>
      </c>
      <c r="G124" t="s">
        <v>613</v>
      </c>
      <c r="H124" t="s">
        <v>634</v>
      </c>
    </row>
    <row r="125" spans="1:8" x14ac:dyDescent="0.25">
      <c r="A125" t="s">
        <v>302</v>
      </c>
      <c r="B125" t="s">
        <v>1030</v>
      </c>
      <c r="C125" t="s">
        <v>768</v>
      </c>
      <c r="D125" t="s">
        <v>769</v>
      </c>
      <c r="E125" t="s">
        <v>1031</v>
      </c>
      <c r="F125" t="s">
        <v>612</v>
      </c>
      <c r="G125" t="s">
        <v>613</v>
      </c>
      <c r="H125" t="s">
        <v>655</v>
      </c>
    </row>
    <row r="126" spans="1:8" x14ac:dyDescent="0.25">
      <c r="A126" t="s">
        <v>177</v>
      </c>
      <c r="B126" t="s">
        <v>1032</v>
      </c>
      <c r="C126" t="s">
        <v>1033</v>
      </c>
      <c r="D126" t="s">
        <v>1034</v>
      </c>
      <c r="E126" t="s">
        <v>1035</v>
      </c>
      <c r="F126" t="s">
        <v>612</v>
      </c>
      <c r="G126" t="s">
        <v>613</v>
      </c>
      <c r="H126" t="s">
        <v>655</v>
      </c>
    </row>
    <row r="127" spans="1:8" x14ac:dyDescent="0.25">
      <c r="A127" t="s">
        <v>1036</v>
      </c>
      <c r="B127" t="s">
        <v>1037</v>
      </c>
      <c r="C127" t="s">
        <v>616</v>
      </c>
      <c r="D127" t="s">
        <v>1038</v>
      </c>
      <c r="F127" t="s">
        <v>612</v>
      </c>
      <c r="G127" t="s">
        <v>613</v>
      </c>
      <c r="H127" t="s">
        <v>618</v>
      </c>
    </row>
    <row r="128" spans="1:8" x14ac:dyDescent="0.25">
      <c r="A128" t="s">
        <v>1039</v>
      </c>
      <c r="B128" t="s">
        <v>1040</v>
      </c>
      <c r="C128" t="s">
        <v>678</v>
      </c>
      <c r="D128" t="s">
        <v>1041</v>
      </c>
      <c r="E128" t="s">
        <v>1042</v>
      </c>
      <c r="F128" t="s">
        <v>612</v>
      </c>
      <c r="G128" t="s">
        <v>613</v>
      </c>
      <c r="H128" t="s">
        <v>681</v>
      </c>
    </row>
    <row r="129" spans="1:8" x14ac:dyDescent="0.25">
      <c r="A129" t="s">
        <v>1043</v>
      </c>
      <c r="B129" t="s">
        <v>1044</v>
      </c>
      <c r="C129" t="s">
        <v>1045</v>
      </c>
      <c r="D129" t="s">
        <v>1046</v>
      </c>
      <c r="E129" t="s">
        <v>1047</v>
      </c>
      <c r="F129" t="s">
        <v>612</v>
      </c>
      <c r="G129" t="s">
        <v>613</v>
      </c>
      <c r="H129" t="s">
        <v>648</v>
      </c>
    </row>
    <row r="130" spans="1:8" x14ac:dyDescent="0.25">
      <c r="A130" t="s">
        <v>1048</v>
      </c>
      <c r="B130" t="s">
        <v>1049</v>
      </c>
      <c r="C130" t="s">
        <v>67</v>
      </c>
      <c r="D130" t="s">
        <v>1050</v>
      </c>
      <c r="E130" t="s">
        <v>1051</v>
      </c>
      <c r="F130" t="s">
        <v>612</v>
      </c>
      <c r="G130" t="s">
        <v>613</v>
      </c>
      <c r="H130" t="s">
        <v>655</v>
      </c>
    </row>
    <row r="131" spans="1:8" x14ac:dyDescent="0.25">
      <c r="A131" t="s">
        <v>242</v>
      </c>
      <c r="B131" t="s">
        <v>1052</v>
      </c>
      <c r="C131" t="s">
        <v>86</v>
      </c>
      <c r="D131" t="s">
        <v>1053</v>
      </c>
      <c r="E131" t="s">
        <v>1054</v>
      </c>
      <c r="F131" t="s">
        <v>612</v>
      </c>
      <c r="G131" t="s">
        <v>613</v>
      </c>
      <c r="H131" t="s">
        <v>634</v>
      </c>
    </row>
    <row r="132" spans="1:8" x14ac:dyDescent="0.25">
      <c r="A132" t="s">
        <v>176</v>
      </c>
      <c r="B132" t="s">
        <v>1055</v>
      </c>
      <c r="C132" t="s">
        <v>168</v>
      </c>
      <c r="D132" t="s">
        <v>1056</v>
      </c>
      <c r="E132" t="s">
        <v>1057</v>
      </c>
      <c r="F132" t="s">
        <v>612</v>
      </c>
      <c r="G132" t="s">
        <v>613</v>
      </c>
      <c r="H132" t="s">
        <v>655</v>
      </c>
    </row>
    <row r="133" spans="1:8" x14ac:dyDescent="0.25">
      <c r="A133" t="s">
        <v>1058</v>
      </c>
      <c r="B133" t="s">
        <v>1059</v>
      </c>
      <c r="E133" t="s">
        <v>1060</v>
      </c>
      <c r="F133" t="s">
        <v>612</v>
      </c>
      <c r="G133" t="s">
        <v>613</v>
      </c>
      <c r="H133" t="s">
        <v>655</v>
      </c>
    </row>
    <row r="134" spans="1:8" x14ac:dyDescent="0.25">
      <c r="A134" t="s">
        <v>1061</v>
      </c>
      <c r="B134" t="s">
        <v>1062</v>
      </c>
      <c r="C134" t="s">
        <v>616</v>
      </c>
      <c r="D134" t="s">
        <v>1063</v>
      </c>
      <c r="F134" t="s">
        <v>612</v>
      </c>
      <c r="G134" t="s">
        <v>613</v>
      </c>
      <c r="H134" t="s">
        <v>618</v>
      </c>
    </row>
    <row r="135" spans="1:8" x14ac:dyDescent="0.25">
      <c r="A135" t="s">
        <v>1064</v>
      </c>
      <c r="B135" t="s">
        <v>1065</v>
      </c>
      <c r="C135" t="s">
        <v>1066</v>
      </c>
      <c r="D135" t="s">
        <v>877</v>
      </c>
      <c r="E135" t="s">
        <v>1067</v>
      </c>
      <c r="F135" t="s">
        <v>612</v>
      </c>
      <c r="G135" t="s">
        <v>613</v>
      </c>
      <c r="H135" t="s">
        <v>618</v>
      </c>
    </row>
    <row r="136" spans="1:8" x14ac:dyDescent="0.25">
      <c r="A136" t="s">
        <v>1068</v>
      </c>
      <c r="B136" t="s">
        <v>1069</v>
      </c>
      <c r="C136" t="s">
        <v>67</v>
      </c>
      <c r="D136" t="s">
        <v>1070</v>
      </c>
      <c r="F136" t="s">
        <v>612</v>
      </c>
      <c r="G136" t="s">
        <v>613</v>
      </c>
      <c r="H136" t="s">
        <v>655</v>
      </c>
    </row>
    <row r="137" spans="1:8" x14ac:dyDescent="0.25">
      <c r="A137" t="s">
        <v>54</v>
      </c>
      <c r="B137" t="s">
        <v>1071</v>
      </c>
      <c r="C137" t="s">
        <v>1072</v>
      </c>
      <c r="D137" t="s">
        <v>1073</v>
      </c>
      <c r="E137" t="s">
        <v>1074</v>
      </c>
      <c r="F137" t="s">
        <v>612</v>
      </c>
      <c r="G137" t="s">
        <v>613</v>
      </c>
      <c r="H137" t="s">
        <v>618</v>
      </c>
    </row>
    <row r="138" spans="1:8" x14ac:dyDescent="0.25">
      <c r="A138" t="s">
        <v>1075</v>
      </c>
      <c r="B138" t="s">
        <v>1076</v>
      </c>
      <c r="C138" t="s">
        <v>616</v>
      </c>
      <c r="D138" t="s">
        <v>1077</v>
      </c>
      <c r="F138" t="s">
        <v>612</v>
      </c>
      <c r="G138" t="s">
        <v>613</v>
      </c>
      <c r="H138" t="s">
        <v>618</v>
      </c>
    </row>
    <row r="139" spans="1:8" x14ac:dyDescent="0.25">
      <c r="A139" t="s">
        <v>1078</v>
      </c>
      <c r="B139" t="s">
        <v>1079</v>
      </c>
      <c r="C139" t="s">
        <v>1080</v>
      </c>
      <c r="D139" t="s">
        <v>1081</v>
      </c>
      <c r="E139" t="s">
        <v>1082</v>
      </c>
      <c r="F139" t="s">
        <v>612</v>
      </c>
      <c r="G139" t="s">
        <v>613</v>
      </c>
      <c r="H139" t="s">
        <v>681</v>
      </c>
    </row>
    <row r="140" spans="1:8" x14ac:dyDescent="0.25">
      <c r="A140" t="s">
        <v>61</v>
      </c>
      <c r="B140" t="s">
        <v>1083</v>
      </c>
      <c r="C140" t="s">
        <v>749</v>
      </c>
      <c r="D140" t="s">
        <v>1084</v>
      </c>
      <c r="E140" t="s">
        <v>1085</v>
      </c>
      <c r="F140" t="s">
        <v>612</v>
      </c>
      <c r="G140" t="s">
        <v>613</v>
      </c>
      <c r="H140" t="s">
        <v>618</v>
      </c>
    </row>
    <row r="141" spans="1:8" x14ac:dyDescent="0.25">
      <c r="A141" t="s">
        <v>1086</v>
      </c>
      <c r="B141" t="s">
        <v>1087</v>
      </c>
      <c r="C141" t="s">
        <v>700</v>
      </c>
      <c r="D141" t="s">
        <v>1088</v>
      </c>
      <c r="F141" t="s">
        <v>612</v>
      </c>
      <c r="G141" t="s">
        <v>613</v>
      </c>
      <c r="H141" t="s">
        <v>618</v>
      </c>
    </row>
    <row r="142" spans="1:8" x14ac:dyDescent="0.25">
      <c r="A142" t="s">
        <v>1089</v>
      </c>
      <c r="B142" t="s">
        <v>1090</v>
      </c>
      <c r="C142" t="s">
        <v>640</v>
      </c>
      <c r="D142" t="s">
        <v>894</v>
      </c>
      <c r="F142" t="s">
        <v>612</v>
      </c>
      <c r="G142" t="s">
        <v>613</v>
      </c>
      <c r="H142" t="s">
        <v>618</v>
      </c>
    </row>
    <row r="143" spans="1:8" x14ac:dyDescent="0.25">
      <c r="A143" t="s">
        <v>431</v>
      </c>
      <c r="B143" t="s">
        <v>1091</v>
      </c>
      <c r="C143" t="s">
        <v>744</v>
      </c>
      <c r="D143" t="s">
        <v>1092</v>
      </c>
      <c r="E143" t="s">
        <v>1093</v>
      </c>
      <c r="F143" t="s">
        <v>612</v>
      </c>
      <c r="G143" t="s">
        <v>613</v>
      </c>
      <c r="H143" t="s">
        <v>618</v>
      </c>
    </row>
    <row r="144" spans="1:8" x14ac:dyDescent="0.25">
      <c r="A144" t="s">
        <v>1094</v>
      </c>
      <c r="B144" t="s">
        <v>1095</v>
      </c>
      <c r="C144" t="s">
        <v>86</v>
      </c>
      <c r="D144" t="s">
        <v>662</v>
      </c>
      <c r="E144" t="s">
        <v>1096</v>
      </c>
      <c r="F144" t="s">
        <v>612</v>
      </c>
      <c r="G144" t="s">
        <v>613</v>
      </c>
      <c r="H144" t="s">
        <v>634</v>
      </c>
    </row>
    <row r="145" spans="1:8" x14ac:dyDescent="0.25">
      <c r="A145" t="s">
        <v>1097</v>
      </c>
      <c r="B145" t="s">
        <v>1098</v>
      </c>
      <c r="C145" t="s">
        <v>752</v>
      </c>
      <c r="D145" t="s">
        <v>1099</v>
      </c>
      <c r="E145" t="s">
        <v>1100</v>
      </c>
      <c r="F145" t="s">
        <v>612</v>
      </c>
      <c r="G145" t="s">
        <v>613</v>
      </c>
      <c r="H145" t="s">
        <v>618</v>
      </c>
    </row>
    <row r="146" spans="1:8" x14ac:dyDescent="0.25">
      <c r="A146" t="s">
        <v>180</v>
      </c>
      <c r="B146" t="s">
        <v>1101</v>
      </c>
      <c r="C146" t="s">
        <v>1102</v>
      </c>
      <c r="D146" t="s">
        <v>791</v>
      </c>
      <c r="E146" t="s">
        <v>1103</v>
      </c>
      <c r="F146" t="s">
        <v>612</v>
      </c>
      <c r="G146" t="s">
        <v>613</v>
      </c>
      <c r="H146" t="s">
        <v>648</v>
      </c>
    </row>
    <row r="147" spans="1:8" x14ac:dyDescent="0.25">
      <c r="A147" t="s">
        <v>1104</v>
      </c>
      <c r="B147" t="s">
        <v>1105</v>
      </c>
      <c r="C147" t="s">
        <v>744</v>
      </c>
      <c r="D147" t="s">
        <v>1106</v>
      </c>
      <c r="E147" t="s">
        <v>1107</v>
      </c>
      <c r="F147" t="s">
        <v>612</v>
      </c>
      <c r="G147" t="s">
        <v>613</v>
      </c>
      <c r="H147" t="s">
        <v>618</v>
      </c>
    </row>
    <row r="148" spans="1:8" x14ac:dyDescent="0.25">
      <c r="A148" t="s">
        <v>1108</v>
      </c>
      <c r="B148" t="s">
        <v>1109</v>
      </c>
      <c r="C148" t="s">
        <v>744</v>
      </c>
      <c r="D148" t="s">
        <v>734</v>
      </c>
      <c r="F148" t="s">
        <v>612</v>
      </c>
      <c r="G148" t="s">
        <v>613</v>
      </c>
      <c r="H148" t="s">
        <v>618</v>
      </c>
    </row>
    <row r="149" spans="1:8" x14ac:dyDescent="0.25">
      <c r="A149" t="s">
        <v>1110</v>
      </c>
      <c r="B149" t="s">
        <v>1111</v>
      </c>
      <c r="C149" t="s">
        <v>1112</v>
      </c>
      <c r="D149" t="s">
        <v>1113</v>
      </c>
      <c r="E149" t="s">
        <v>1114</v>
      </c>
      <c r="F149" t="s">
        <v>612</v>
      </c>
      <c r="G149" t="s">
        <v>613</v>
      </c>
      <c r="H149" t="s">
        <v>648</v>
      </c>
    </row>
    <row r="150" spans="1:8" x14ac:dyDescent="0.25">
      <c r="A150" t="s">
        <v>461</v>
      </c>
      <c r="B150" t="s">
        <v>1115</v>
      </c>
      <c r="C150" t="s">
        <v>749</v>
      </c>
      <c r="D150" t="s">
        <v>1116</v>
      </c>
      <c r="E150" t="s">
        <v>1117</v>
      </c>
      <c r="F150" t="s">
        <v>612</v>
      </c>
      <c r="G150" t="s">
        <v>613</v>
      </c>
      <c r="H150" t="s">
        <v>618</v>
      </c>
    </row>
    <row r="151" spans="1:8" x14ac:dyDescent="0.25">
      <c r="A151" t="s">
        <v>1118</v>
      </c>
      <c r="B151" t="s">
        <v>1119</v>
      </c>
      <c r="C151" t="s">
        <v>640</v>
      </c>
      <c r="D151" t="s">
        <v>641</v>
      </c>
      <c r="E151" t="s">
        <v>1120</v>
      </c>
      <c r="F151" t="s">
        <v>612</v>
      </c>
      <c r="G151" t="s">
        <v>613</v>
      </c>
      <c r="H151" t="s">
        <v>618</v>
      </c>
    </row>
    <row r="152" spans="1:8" x14ac:dyDescent="0.25">
      <c r="A152" t="s">
        <v>1121</v>
      </c>
      <c r="B152" t="s">
        <v>1122</v>
      </c>
      <c r="C152" t="s">
        <v>703</v>
      </c>
      <c r="D152" t="s">
        <v>1123</v>
      </c>
      <c r="E152" t="s">
        <v>1124</v>
      </c>
      <c r="F152" t="s">
        <v>612</v>
      </c>
      <c r="G152" t="s">
        <v>613</v>
      </c>
      <c r="H152" t="s">
        <v>618</v>
      </c>
    </row>
    <row r="153" spans="1:8" x14ac:dyDescent="0.25">
      <c r="A153" t="s">
        <v>1125</v>
      </c>
      <c r="B153" t="s">
        <v>1126</v>
      </c>
      <c r="C153" t="s">
        <v>768</v>
      </c>
      <c r="D153" t="s">
        <v>769</v>
      </c>
      <c r="E153" t="s">
        <v>1127</v>
      </c>
      <c r="F153" t="s">
        <v>612</v>
      </c>
      <c r="G153" t="s">
        <v>613</v>
      </c>
      <c r="H153" t="s">
        <v>655</v>
      </c>
    </row>
    <row r="154" spans="1:8" x14ac:dyDescent="0.25">
      <c r="A154" t="s">
        <v>1128</v>
      </c>
      <c r="B154" t="s">
        <v>1129</v>
      </c>
      <c r="C154" t="s">
        <v>700</v>
      </c>
      <c r="D154" t="s">
        <v>1130</v>
      </c>
      <c r="F154" t="s">
        <v>612</v>
      </c>
      <c r="G154" t="s">
        <v>613</v>
      </c>
      <c r="H154" t="s">
        <v>618</v>
      </c>
    </row>
    <row r="155" spans="1:8" x14ac:dyDescent="0.25">
      <c r="A155" t="s">
        <v>295</v>
      </c>
      <c r="B155" t="s">
        <v>1131</v>
      </c>
      <c r="C155" t="s">
        <v>661</v>
      </c>
      <c r="D155" t="s">
        <v>1132</v>
      </c>
      <c r="E155" t="s">
        <v>1133</v>
      </c>
      <c r="F155" t="s">
        <v>612</v>
      </c>
      <c r="G155" t="s">
        <v>613</v>
      </c>
      <c r="H155" t="s">
        <v>634</v>
      </c>
    </row>
    <row r="156" spans="1:8" x14ac:dyDescent="0.25">
      <c r="A156" t="s">
        <v>1134</v>
      </c>
      <c r="B156" t="s">
        <v>1135</v>
      </c>
      <c r="C156" t="s">
        <v>1136</v>
      </c>
      <c r="D156" t="s">
        <v>1137</v>
      </c>
      <c r="E156" t="s">
        <v>1138</v>
      </c>
      <c r="F156" t="s">
        <v>612</v>
      </c>
      <c r="G156" t="s">
        <v>613</v>
      </c>
      <c r="H156" t="s">
        <v>618</v>
      </c>
    </row>
    <row r="157" spans="1:8" x14ac:dyDescent="0.25">
      <c r="A157" t="s">
        <v>1139</v>
      </c>
      <c r="B157" t="s">
        <v>1140</v>
      </c>
      <c r="C157" t="s">
        <v>102</v>
      </c>
      <c r="D157" t="s">
        <v>1141</v>
      </c>
      <c r="E157" t="s">
        <v>1142</v>
      </c>
      <c r="F157" t="s">
        <v>612</v>
      </c>
      <c r="G157" t="s">
        <v>613</v>
      </c>
      <c r="H157" t="s">
        <v>655</v>
      </c>
    </row>
    <row r="158" spans="1:8" x14ac:dyDescent="0.25">
      <c r="A158" t="s">
        <v>1143</v>
      </c>
      <c r="B158" t="s">
        <v>1144</v>
      </c>
      <c r="C158" t="s">
        <v>691</v>
      </c>
      <c r="D158" t="s">
        <v>1145</v>
      </c>
      <c r="E158" t="s">
        <v>1146</v>
      </c>
      <c r="F158" t="s">
        <v>612</v>
      </c>
      <c r="G158" t="s">
        <v>613</v>
      </c>
      <c r="H158" t="s">
        <v>634</v>
      </c>
    </row>
    <row r="159" spans="1:8" x14ac:dyDescent="0.25">
      <c r="A159" t="s">
        <v>1147</v>
      </c>
      <c r="B159" t="s">
        <v>1148</v>
      </c>
      <c r="C159" t="s">
        <v>716</v>
      </c>
      <c r="D159" t="s">
        <v>1149</v>
      </c>
      <c r="E159" t="s">
        <v>1150</v>
      </c>
      <c r="F159" t="s">
        <v>612</v>
      </c>
      <c r="G159" t="s">
        <v>613</v>
      </c>
      <c r="H159" t="s">
        <v>655</v>
      </c>
    </row>
    <row r="160" spans="1:8" x14ac:dyDescent="0.25">
      <c r="A160" t="s">
        <v>1151</v>
      </c>
      <c r="B160" t="s">
        <v>1152</v>
      </c>
      <c r="C160" t="s">
        <v>716</v>
      </c>
      <c r="D160" t="s">
        <v>1153</v>
      </c>
      <c r="E160" t="s">
        <v>1154</v>
      </c>
      <c r="F160" t="s">
        <v>612</v>
      </c>
      <c r="G160" t="s">
        <v>613</v>
      </c>
      <c r="H160" t="s">
        <v>655</v>
      </c>
    </row>
    <row r="161" spans="1:8" x14ac:dyDescent="0.25">
      <c r="A161" t="s">
        <v>1155</v>
      </c>
      <c r="B161" t="s">
        <v>1156</v>
      </c>
      <c r="C161" t="s">
        <v>631</v>
      </c>
      <c r="D161" t="s">
        <v>1157</v>
      </c>
      <c r="E161" t="s">
        <v>1158</v>
      </c>
      <c r="F161" t="s">
        <v>612</v>
      </c>
      <c r="G161" t="s">
        <v>613</v>
      </c>
      <c r="H161" t="s">
        <v>634</v>
      </c>
    </row>
    <row r="162" spans="1:8" x14ac:dyDescent="0.25">
      <c r="A162" t="s">
        <v>1159</v>
      </c>
      <c r="B162" t="s">
        <v>1160</v>
      </c>
      <c r="C162" t="s">
        <v>749</v>
      </c>
      <c r="D162" t="s">
        <v>994</v>
      </c>
      <c r="E162" t="s">
        <v>1161</v>
      </c>
      <c r="F162" t="s">
        <v>612</v>
      </c>
      <c r="G162" t="s">
        <v>613</v>
      </c>
      <c r="H162" t="s">
        <v>618</v>
      </c>
    </row>
    <row r="163" spans="1:8" x14ac:dyDescent="0.25">
      <c r="A163" t="s">
        <v>1162</v>
      </c>
      <c r="B163" t="s">
        <v>1163</v>
      </c>
      <c r="C163" t="s">
        <v>67</v>
      </c>
      <c r="D163" t="s">
        <v>1164</v>
      </c>
      <c r="E163" t="s">
        <v>1165</v>
      </c>
      <c r="F163" t="s">
        <v>612</v>
      </c>
      <c r="G163" t="s">
        <v>613</v>
      </c>
      <c r="H163" t="s">
        <v>655</v>
      </c>
    </row>
    <row r="164" spans="1:8" x14ac:dyDescent="0.25">
      <c r="A164" t="s">
        <v>1166</v>
      </c>
      <c r="B164" t="s">
        <v>1167</v>
      </c>
      <c r="E164" t="s">
        <v>1168</v>
      </c>
      <c r="F164" t="s">
        <v>612</v>
      </c>
      <c r="G164" t="s">
        <v>613</v>
      </c>
      <c r="H164" t="s">
        <v>618</v>
      </c>
    </row>
    <row r="165" spans="1:8" x14ac:dyDescent="0.25">
      <c r="A165" t="s">
        <v>1169</v>
      </c>
      <c r="B165" t="s">
        <v>1170</v>
      </c>
      <c r="C165" t="s">
        <v>768</v>
      </c>
      <c r="D165" t="s">
        <v>769</v>
      </c>
      <c r="F165" t="s">
        <v>612</v>
      </c>
      <c r="G165" t="s">
        <v>613</v>
      </c>
      <c r="H165" t="s">
        <v>655</v>
      </c>
    </row>
    <row r="166" spans="1:8" x14ac:dyDescent="0.25">
      <c r="A166" t="s">
        <v>1171</v>
      </c>
      <c r="B166" t="s">
        <v>1172</v>
      </c>
      <c r="C166" t="s">
        <v>703</v>
      </c>
      <c r="D166" t="s">
        <v>1173</v>
      </c>
      <c r="F166" t="s">
        <v>612</v>
      </c>
      <c r="G166" t="s">
        <v>613</v>
      </c>
      <c r="H166" t="s">
        <v>618</v>
      </c>
    </row>
    <row r="167" spans="1:8" x14ac:dyDescent="0.25">
      <c r="A167" t="s">
        <v>202</v>
      </c>
      <c r="B167" t="s">
        <v>1174</v>
      </c>
      <c r="C167" t="s">
        <v>168</v>
      </c>
      <c r="D167" t="s">
        <v>1175</v>
      </c>
      <c r="F167" t="s">
        <v>612</v>
      </c>
      <c r="G167" t="s">
        <v>613</v>
      </c>
      <c r="H167" t="s">
        <v>655</v>
      </c>
    </row>
    <row r="168" spans="1:8" x14ac:dyDescent="0.25">
      <c r="A168" t="s">
        <v>239</v>
      </c>
      <c r="B168" t="s">
        <v>1176</v>
      </c>
      <c r="C168" t="s">
        <v>86</v>
      </c>
      <c r="D168" t="s">
        <v>1177</v>
      </c>
      <c r="F168" t="s">
        <v>612</v>
      </c>
      <c r="G168" t="s">
        <v>613</v>
      </c>
      <c r="H168" t="s">
        <v>634</v>
      </c>
    </row>
    <row r="169" spans="1:8" x14ac:dyDescent="0.25">
      <c r="A169" t="s">
        <v>1178</v>
      </c>
      <c r="B169" t="s">
        <v>1179</v>
      </c>
      <c r="C169" t="s">
        <v>814</v>
      </c>
      <c r="D169" t="s">
        <v>1180</v>
      </c>
      <c r="E169" t="s">
        <v>1181</v>
      </c>
      <c r="F169" t="s">
        <v>612</v>
      </c>
      <c r="G169" t="s">
        <v>613</v>
      </c>
      <c r="H169" t="s">
        <v>618</v>
      </c>
    </row>
    <row r="170" spans="1:8" x14ac:dyDescent="0.25">
      <c r="A170" t="s">
        <v>1182</v>
      </c>
      <c r="B170" t="s">
        <v>1183</v>
      </c>
      <c r="C170" t="s">
        <v>168</v>
      </c>
      <c r="D170" t="s">
        <v>1184</v>
      </c>
      <c r="E170" t="s">
        <v>1185</v>
      </c>
      <c r="F170" t="s">
        <v>612</v>
      </c>
      <c r="G170" t="s">
        <v>613</v>
      </c>
      <c r="H170" t="s">
        <v>655</v>
      </c>
    </row>
    <row r="171" spans="1:8" x14ac:dyDescent="0.25">
      <c r="A171" t="s">
        <v>366</v>
      </c>
      <c r="B171" t="s">
        <v>1186</v>
      </c>
      <c r="C171" t="s">
        <v>752</v>
      </c>
      <c r="D171" t="s">
        <v>1187</v>
      </c>
      <c r="E171" t="s">
        <v>1188</v>
      </c>
      <c r="F171" t="s">
        <v>612</v>
      </c>
      <c r="G171" t="s">
        <v>613</v>
      </c>
      <c r="H171" t="s">
        <v>618</v>
      </c>
    </row>
    <row r="172" spans="1:8" x14ac:dyDescent="0.25">
      <c r="A172" t="s">
        <v>46</v>
      </c>
      <c r="B172" t="s">
        <v>1189</v>
      </c>
      <c r="C172" t="s">
        <v>1190</v>
      </c>
      <c r="D172" t="s">
        <v>1191</v>
      </c>
      <c r="E172" t="s">
        <v>1192</v>
      </c>
      <c r="F172" t="s">
        <v>612</v>
      </c>
      <c r="G172" t="s">
        <v>613</v>
      </c>
      <c r="H172" t="s">
        <v>1193</v>
      </c>
    </row>
    <row r="173" spans="1:8" x14ac:dyDescent="0.25">
      <c r="A173" t="s">
        <v>1194</v>
      </c>
      <c r="B173" t="s">
        <v>1195</v>
      </c>
      <c r="C173" t="s">
        <v>616</v>
      </c>
      <c r="D173" t="s">
        <v>1063</v>
      </c>
      <c r="F173" t="s">
        <v>612</v>
      </c>
      <c r="G173" t="s">
        <v>613</v>
      </c>
      <c r="H173" t="s">
        <v>618</v>
      </c>
    </row>
    <row r="174" spans="1:8" x14ac:dyDescent="0.25">
      <c r="A174" t="s">
        <v>1196</v>
      </c>
      <c r="B174" t="s">
        <v>1197</v>
      </c>
      <c r="C174" t="s">
        <v>752</v>
      </c>
      <c r="D174" t="s">
        <v>1198</v>
      </c>
      <c r="E174" t="s">
        <v>1199</v>
      </c>
      <c r="F174" t="s">
        <v>612</v>
      </c>
      <c r="G174" t="s">
        <v>613</v>
      </c>
      <c r="H174" t="s">
        <v>618</v>
      </c>
    </row>
    <row r="175" spans="1:8" x14ac:dyDescent="0.25">
      <c r="A175" t="s">
        <v>1200</v>
      </c>
      <c r="B175" t="s">
        <v>1201</v>
      </c>
      <c r="C175" t="s">
        <v>211</v>
      </c>
      <c r="D175" t="s">
        <v>1202</v>
      </c>
      <c r="F175" t="s">
        <v>612</v>
      </c>
      <c r="G175" t="s">
        <v>613</v>
      </c>
      <c r="H175" t="s">
        <v>634</v>
      </c>
    </row>
    <row r="176" spans="1:8" x14ac:dyDescent="0.25">
      <c r="A176" t="s">
        <v>1203</v>
      </c>
      <c r="B176" t="s">
        <v>1204</v>
      </c>
      <c r="C176" t="s">
        <v>1205</v>
      </c>
      <c r="D176" t="s">
        <v>1206</v>
      </c>
      <c r="E176" t="s">
        <v>1207</v>
      </c>
      <c r="F176" t="s">
        <v>612</v>
      </c>
      <c r="G176" t="s">
        <v>613</v>
      </c>
      <c r="H176" t="s">
        <v>655</v>
      </c>
    </row>
    <row r="177" spans="1:8" x14ac:dyDescent="0.25">
      <c r="A177" t="s">
        <v>226</v>
      </c>
      <c r="B177" t="s">
        <v>1208</v>
      </c>
      <c r="C177" t="s">
        <v>86</v>
      </c>
      <c r="D177" t="s">
        <v>1209</v>
      </c>
      <c r="F177" t="s">
        <v>612</v>
      </c>
      <c r="G177" t="s">
        <v>613</v>
      </c>
      <c r="H177" t="s">
        <v>634</v>
      </c>
    </row>
    <row r="178" spans="1:8" x14ac:dyDescent="0.25">
      <c r="A178" t="s">
        <v>483</v>
      </c>
      <c r="B178" t="s">
        <v>1210</v>
      </c>
      <c r="C178" t="s">
        <v>744</v>
      </c>
      <c r="D178" t="s">
        <v>877</v>
      </c>
      <c r="E178" t="s">
        <v>1211</v>
      </c>
      <c r="F178" t="s">
        <v>612</v>
      </c>
      <c r="G178" t="s">
        <v>613</v>
      </c>
      <c r="H178" t="s">
        <v>618</v>
      </c>
    </row>
    <row r="179" spans="1:8" x14ac:dyDescent="0.25">
      <c r="A179" t="s">
        <v>1212</v>
      </c>
      <c r="B179" t="s">
        <v>1213</v>
      </c>
      <c r="C179" t="s">
        <v>1190</v>
      </c>
      <c r="D179" t="s">
        <v>1214</v>
      </c>
      <c r="F179" t="s">
        <v>612</v>
      </c>
      <c r="G179" t="s">
        <v>613</v>
      </c>
      <c r="H179" t="s">
        <v>618</v>
      </c>
    </row>
    <row r="180" spans="1:8" x14ac:dyDescent="0.25">
      <c r="A180" t="s">
        <v>1215</v>
      </c>
      <c r="B180" t="s">
        <v>1216</v>
      </c>
      <c r="C180" t="s">
        <v>744</v>
      </c>
      <c r="D180" t="s">
        <v>1217</v>
      </c>
      <c r="E180" t="s">
        <v>1218</v>
      </c>
      <c r="F180" t="s">
        <v>612</v>
      </c>
      <c r="G180" t="s">
        <v>613</v>
      </c>
      <c r="H180" t="s">
        <v>618</v>
      </c>
    </row>
    <row r="181" spans="1:8" x14ac:dyDescent="0.25">
      <c r="A181" t="s">
        <v>1219</v>
      </c>
      <c r="B181" t="s">
        <v>1220</v>
      </c>
      <c r="C181" t="s">
        <v>700</v>
      </c>
      <c r="D181" t="s">
        <v>977</v>
      </c>
      <c r="F181" t="s">
        <v>612</v>
      </c>
      <c r="G181" t="s">
        <v>613</v>
      </c>
      <c r="H181" t="s">
        <v>618</v>
      </c>
    </row>
    <row r="182" spans="1:8" x14ac:dyDescent="0.25">
      <c r="A182" t="s">
        <v>1221</v>
      </c>
      <c r="B182" t="s">
        <v>1222</v>
      </c>
      <c r="C182" t="s">
        <v>700</v>
      </c>
      <c r="D182" t="s">
        <v>1223</v>
      </c>
      <c r="E182" t="s">
        <v>1224</v>
      </c>
      <c r="F182" t="s">
        <v>612</v>
      </c>
      <c r="G182" t="s">
        <v>613</v>
      </c>
      <c r="H182" t="s">
        <v>618</v>
      </c>
    </row>
    <row r="183" spans="1:8" x14ac:dyDescent="0.25">
      <c r="A183" t="s">
        <v>156</v>
      </c>
      <c r="B183" t="s">
        <v>1225</v>
      </c>
      <c r="C183" t="s">
        <v>1226</v>
      </c>
      <c r="D183" t="s">
        <v>1227</v>
      </c>
      <c r="E183" t="s">
        <v>1228</v>
      </c>
      <c r="F183" t="s">
        <v>612</v>
      </c>
      <c r="G183" t="s">
        <v>613</v>
      </c>
      <c r="H183" t="s">
        <v>634</v>
      </c>
    </row>
    <row r="184" spans="1:8" x14ac:dyDescent="0.25">
      <c r="A184" t="s">
        <v>1229</v>
      </c>
      <c r="B184" t="s">
        <v>1230</v>
      </c>
      <c r="C184" t="s">
        <v>744</v>
      </c>
      <c r="D184" t="s">
        <v>1231</v>
      </c>
      <c r="F184" t="s">
        <v>612</v>
      </c>
      <c r="G184" t="s">
        <v>613</v>
      </c>
      <c r="H184" t="s">
        <v>618</v>
      </c>
    </row>
    <row r="185" spans="1:8" x14ac:dyDescent="0.25">
      <c r="A185" t="s">
        <v>94</v>
      </c>
      <c r="B185" t="s">
        <v>1232</v>
      </c>
      <c r="C185" t="s">
        <v>768</v>
      </c>
      <c r="D185" t="s">
        <v>769</v>
      </c>
      <c r="E185" t="s">
        <v>1233</v>
      </c>
      <c r="F185" t="s">
        <v>612</v>
      </c>
      <c r="G185" t="s">
        <v>613</v>
      </c>
      <c r="H185" t="s">
        <v>655</v>
      </c>
    </row>
    <row r="186" spans="1:8" x14ac:dyDescent="0.25">
      <c r="A186" t="s">
        <v>389</v>
      </c>
      <c r="B186" t="s">
        <v>1234</v>
      </c>
      <c r="C186" t="s">
        <v>1235</v>
      </c>
      <c r="D186" t="s">
        <v>877</v>
      </c>
      <c r="F186" t="s">
        <v>612</v>
      </c>
      <c r="G186" t="s">
        <v>613</v>
      </c>
      <c r="H186" t="s">
        <v>618</v>
      </c>
    </row>
    <row r="187" spans="1:8" x14ac:dyDescent="0.25">
      <c r="A187" t="s">
        <v>270</v>
      </c>
      <c r="B187" t="s">
        <v>1236</v>
      </c>
      <c r="C187" t="s">
        <v>661</v>
      </c>
      <c r="D187" t="s">
        <v>1237</v>
      </c>
      <c r="E187" t="s">
        <v>1238</v>
      </c>
      <c r="F187" t="s">
        <v>612</v>
      </c>
      <c r="G187" t="s">
        <v>613</v>
      </c>
      <c r="H187" t="s">
        <v>634</v>
      </c>
    </row>
    <row r="188" spans="1:8" x14ac:dyDescent="0.25">
      <c r="A188" t="s">
        <v>503</v>
      </c>
      <c r="B188" t="s">
        <v>1239</v>
      </c>
      <c r="C188" t="s">
        <v>1240</v>
      </c>
      <c r="D188" t="s">
        <v>1241</v>
      </c>
      <c r="E188" t="s">
        <v>1242</v>
      </c>
      <c r="F188" t="s">
        <v>612</v>
      </c>
      <c r="G188" t="s">
        <v>613</v>
      </c>
      <c r="H188" t="s">
        <v>618</v>
      </c>
    </row>
    <row r="189" spans="1:8" x14ac:dyDescent="0.25">
      <c r="A189" t="s">
        <v>449</v>
      </c>
      <c r="B189" t="s">
        <v>1243</v>
      </c>
      <c r="C189" t="s">
        <v>1244</v>
      </c>
      <c r="D189" t="s">
        <v>1245</v>
      </c>
      <c r="E189" t="s">
        <v>1246</v>
      </c>
      <c r="F189" t="s">
        <v>612</v>
      </c>
      <c r="G189" t="s">
        <v>613</v>
      </c>
      <c r="H189" t="s">
        <v>618</v>
      </c>
    </row>
    <row r="190" spans="1:8" x14ac:dyDescent="0.25">
      <c r="A190" t="s">
        <v>429</v>
      </c>
      <c r="B190" t="s">
        <v>1247</v>
      </c>
      <c r="C190" t="s">
        <v>700</v>
      </c>
      <c r="D190" t="s">
        <v>1248</v>
      </c>
      <c r="F190" t="s">
        <v>612</v>
      </c>
      <c r="G190" t="s">
        <v>613</v>
      </c>
      <c r="H190" t="s">
        <v>618</v>
      </c>
    </row>
    <row r="191" spans="1:8" x14ac:dyDescent="0.25">
      <c r="A191" t="s">
        <v>31</v>
      </c>
      <c r="B191" t="s">
        <v>1249</v>
      </c>
      <c r="C191" t="s">
        <v>814</v>
      </c>
      <c r="D191" t="s">
        <v>1250</v>
      </c>
      <c r="E191" t="s">
        <v>1251</v>
      </c>
      <c r="F191" t="s">
        <v>612</v>
      </c>
      <c r="G191" t="s">
        <v>613</v>
      </c>
      <c r="H191" t="s">
        <v>618</v>
      </c>
    </row>
    <row r="192" spans="1:8" x14ac:dyDescent="0.25">
      <c r="A192" t="s">
        <v>1252</v>
      </c>
      <c r="B192" t="s">
        <v>1253</v>
      </c>
      <c r="E192" t="s">
        <v>1254</v>
      </c>
      <c r="F192" t="s">
        <v>612</v>
      </c>
      <c r="G192" t="s">
        <v>613</v>
      </c>
      <c r="H192" t="s">
        <v>655</v>
      </c>
    </row>
    <row r="193" spans="1:8" x14ac:dyDescent="0.25">
      <c r="A193" t="s">
        <v>1255</v>
      </c>
      <c r="B193" t="s">
        <v>1256</v>
      </c>
      <c r="C193" t="s">
        <v>876</v>
      </c>
      <c r="D193" t="s">
        <v>1257</v>
      </c>
      <c r="E193" t="s">
        <v>1258</v>
      </c>
      <c r="F193" t="s">
        <v>612</v>
      </c>
      <c r="G193" t="s">
        <v>613</v>
      </c>
      <c r="H193" t="s">
        <v>618</v>
      </c>
    </row>
    <row r="194" spans="1:8" x14ac:dyDescent="0.25">
      <c r="A194" t="s">
        <v>533</v>
      </c>
      <c r="B194" t="s">
        <v>1259</v>
      </c>
      <c r="C194" t="s">
        <v>925</v>
      </c>
      <c r="D194" t="s">
        <v>1260</v>
      </c>
      <c r="E194" t="s">
        <v>1261</v>
      </c>
      <c r="F194" t="s">
        <v>612</v>
      </c>
      <c r="G194" t="s">
        <v>613</v>
      </c>
      <c r="H194" t="s">
        <v>618</v>
      </c>
    </row>
    <row r="195" spans="1:8" x14ac:dyDescent="0.25">
      <c r="A195" t="s">
        <v>1262</v>
      </c>
      <c r="B195" t="s">
        <v>1263</v>
      </c>
      <c r="C195" t="s">
        <v>1264</v>
      </c>
      <c r="D195" t="s">
        <v>1041</v>
      </c>
      <c r="E195" t="s">
        <v>1265</v>
      </c>
      <c r="F195" t="s">
        <v>612</v>
      </c>
      <c r="G195" t="s">
        <v>613</v>
      </c>
      <c r="H195" t="s">
        <v>648</v>
      </c>
    </row>
    <row r="196" spans="1:8" x14ac:dyDescent="0.25">
      <c r="A196" t="s">
        <v>1266</v>
      </c>
      <c r="B196" t="s">
        <v>1267</v>
      </c>
      <c r="E196" t="s">
        <v>1268</v>
      </c>
      <c r="F196" t="s">
        <v>612</v>
      </c>
      <c r="G196" t="s">
        <v>613</v>
      </c>
      <c r="H196" t="s">
        <v>655</v>
      </c>
    </row>
    <row r="197" spans="1:8" x14ac:dyDescent="0.25">
      <c r="A197" t="s">
        <v>1269</v>
      </c>
      <c r="B197" t="s">
        <v>1270</v>
      </c>
      <c r="C197" t="s">
        <v>749</v>
      </c>
      <c r="D197" t="s">
        <v>1271</v>
      </c>
      <c r="F197" t="s">
        <v>612</v>
      </c>
      <c r="G197" t="s">
        <v>613</v>
      </c>
      <c r="H197" t="s">
        <v>618</v>
      </c>
    </row>
    <row r="198" spans="1:8" x14ac:dyDescent="0.25">
      <c r="A198" t="s">
        <v>55</v>
      </c>
      <c r="B198" t="s">
        <v>1272</v>
      </c>
      <c r="C198" t="s">
        <v>700</v>
      </c>
      <c r="D198" t="s">
        <v>1073</v>
      </c>
      <c r="E198" t="s">
        <v>1273</v>
      </c>
      <c r="F198" t="s">
        <v>612</v>
      </c>
      <c r="G198" t="s">
        <v>613</v>
      </c>
      <c r="H198" t="s">
        <v>618</v>
      </c>
    </row>
    <row r="199" spans="1:8" x14ac:dyDescent="0.25">
      <c r="A199" t="s">
        <v>1274</v>
      </c>
      <c r="B199" t="s">
        <v>1275</v>
      </c>
      <c r="C199" t="s">
        <v>616</v>
      </c>
      <c r="D199" t="s">
        <v>756</v>
      </c>
      <c r="F199" t="s">
        <v>612</v>
      </c>
      <c r="G199" t="s">
        <v>613</v>
      </c>
      <c r="H199" t="s">
        <v>618</v>
      </c>
    </row>
    <row r="200" spans="1:8" x14ac:dyDescent="0.25">
      <c r="A200" t="s">
        <v>1276</v>
      </c>
      <c r="B200" t="s">
        <v>1277</v>
      </c>
      <c r="C200" t="s">
        <v>1278</v>
      </c>
      <c r="D200" t="s">
        <v>1279</v>
      </c>
      <c r="E200" t="s">
        <v>1280</v>
      </c>
      <c r="F200" t="s">
        <v>612</v>
      </c>
      <c r="G200" t="s">
        <v>613</v>
      </c>
      <c r="H200" t="s">
        <v>618</v>
      </c>
    </row>
    <row r="201" spans="1:8" x14ac:dyDescent="0.25">
      <c r="A201" t="s">
        <v>353</v>
      </c>
      <c r="B201" t="s">
        <v>1281</v>
      </c>
      <c r="C201" t="s">
        <v>768</v>
      </c>
      <c r="D201" t="s">
        <v>769</v>
      </c>
      <c r="E201" t="s">
        <v>1282</v>
      </c>
      <c r="F201" t="s">
        <v>612</v>
      </c>
      <c r="G201" t="s">
        <v>613</v>
      </c>
      <c r="H201" t="s">
        <v>655</v>
      </c>
    </row>
    <row r="202" spans="1:8" x14ac:dyDescent="0.25">
      <c r="A202" t="s">
        <v>1283</v>
      </c>
      <c r="B202" t="s">
        <v>1284</v>
      </c>
      <c r="C202" t="s">
        <v>616</v>
      </c>
      <c r="D202" t="s">
        <v>1285</v>
      </c>
      <c r="E202" t="s">
        <v>1286</v>
      </c>
      <c r="F202" t="s">
        <v>612</v>
      </c>
      <c r="G202" t="s">
        <v>613</v>
      </c>
      <c r="H202" t="s">
        <v>618</v>
      </c>
    </row>
    <row r="203" spans="1:8" x14ac:dyDescent="0.25">
      <c r="A203" t="s">
        <v>1287</v>
      </c>
      <c r="B203" t="s">
        <v>1288</v>
      </c>
      <c r="C203" t="s">
        <v>168</v>
      </c>
      <c r="D203" t="s">
        <v>1289</v>
      </c>
      <c r="E203" t="s">
        <v>1290</v>
      </c>
      <c r="F203" t="s">
        <v>612</v>
      </c>
      <c r="G203" t="s">
        <v>613</v>
      </c>
      <c r="H203" t="s">
        <v>618</v>
      </c>
    </row>
    <row r="204" spans="1:8" x14ac:dyDescent="0.25">
      <c r="A204" t="s">
        <v>467</v>
      </c>
      <c r="B204" t="s">
        <v>1291</v>
      </c>
      <c r="C204" t="s">
        <v>752</v>
      </c>
      <c r="D204" t="s">
        <v>1292</v>
      </c>
      <c r="F204" t="s">
        <v>612</v>
      </c>
      <c r="G204" t="s">
        <v>613</v>
      </c>
      <c r="H204" t="s">
        <v>618</v>
      </c>
    </row>
    <row r="205" spans="1:8" x14ac:dyDescent="0.25">
      <c r="A205" t="s">
        <v>558</v>
      </c>
      <c r="B205" t="s">
        <v>1293</v>
      </c>
      <c r="C205" t="s">
        <v>744</v>
      </c>
      <c r="D205" t="s">
        <v>1294</v>
      </c>
      <c r="E205" t="s">
        <v>1295</v>
      </c>
      <c r="F205" t="s">
        <v>612</v>
      </c>
      <c r="G205" t="s">
        <v>613</v>
      </c>
      <c r="H205" t="s">
        <v>618</v>
      </c>
    </row>
    <row r="206" spans="1:8" x14ac:dyDescent="0.25">
      <c r="A206" t="s">
        <v>307</v>
      </c>
      <c r="B206" t="s">
        <v>1296</v>
      </c>
      <c r="C206" t="s">
        <v>1297</v>
      </c>
      <c r="D206" t="s">
        <v>1298</v>
      </c>
      <c r="E206" t="s">
        <v>1299</v>
      </c>
      <c r="F206" t="s">
        <v>612</v>
      </c>
      <c r="G206" t="s">
        <v>613</v>
      </c>
      <c r="H206" t="s">
        <v>648</v>
      </c>
    </row>
    <row r="207" spans="1:8" x14ac:dyDescent="0.25">
      <c r="A207" t="s">
        <v>317</v>
      </c>
      <c r="B207" t="s">
        <v>1300</v>
      </c>
      <c r="C207" t="s">
        <v>1301</v>
      </c>
      <c r="D207" t="s">
        <v>1302</v>
      </c>
      <c r="F207" t="s">
        <v>612</v>
      </c>
      <c r="G207" t="s">
        <v>613</v>
      </c>
      <c r="H207" t="s">
        <v>655</v>
      </c>
    </row>
    <row r="208" spans="1:8" x14ac:dyDescent="0.25">
      <c r="A208" t="s">
        <v>138</v>
      </c>
      <c r="B208" t="s">
        <v>1303</v>
      </c>
      <c r="C208" t="s">
        <v>653</v>
      </c>
      <c r="D208" t="s">
        <v>1304</v>
      </c>
      <c r="E208" t="s">
        <v>1305</v>
      </c>
      <c r="F208" t="s">
        <v>612</v>
      </c>
      <c r="G208" t="s">
        <v>613</v>
      </c>
      <c r="H208" t="s">
        <v>655</v>
      </c>
    </row>
    <row r="209" spans="1:8" x14ac:dyDescent="0.25">
      <c r="A209" t="s">
        <v>1306</v>
      </c>
      <c r="B209" t="s">
        <v>1307</v>
      </c>
      <c r="C209" t="s">
        <v>775</v>
      </c>
      <c r="D209" t="s">
        <v>769</v>
      </c>
      <c r="E209" t="s">
        <v>1308</v>
      </c>
      <c r="F209" t="s">
        <v>612</v>
      </c>
      <c r="G209" t="s">
        <v>613</v>
      </c>
      <c r="H209" t="s">
        <v>655</v>
      </c>
    </row>
    <row r="210" spans="1:8" x14ac:dyDescent="0.25">
      <c r="A210" t="s">
        <v>511</v>
      </c>
      <c r="B210" t="s">
        <v>1309</v>
      </c>
      <c r="C210" t="s">
        <v>616</v>
      </c>
      <c r="D210" t="s">
        <v>1310</v>
      </c>
      <c r="E210" t="s">
        <v>1311</v>
      </c>
      <c r="F210" t="s">
        <v>612</v>
      </c>
      <c r="G210" t="s">
        <v>613</v>
      </c>
      <c r="H210" t="s">
        <v>618</v>
      </c>
    </row>
    <row r="211" spans="1:8" x14ac:dyDescent="0.25">
      <c r="A211" t="s">
        <v>371</v>
      </c>
      <c r="B211" t="s">
        <v>1312</v>
      </c>
      <c r="C211" t="s">
        <v>752</v>
      </c>
      <c r="D211" t="s">
        <v>1313</v>
      </c>
      <c r="E211" t="s">
        <v>1314</v>
      </c>
      <c r="F211" t="s">
        <v>612</v>
      </c>
      <c r="G211" t="s">
        <v>613</v>
      </c>
      <c r="H211" t="s">
        <v>618</v>
      </c>
    </row>
    <row r="212" spans="1:8" x14ac:dyDescent="0.25">
      <c r="A212" t="s">
        <v>1315</v>
      </c>
      <c r="B212" t="s">
        <v>1316</v>
      </c>
      <c r="C212" t="s">
        <v>621</v>
      </c>
      <c r="D212" t="s">
        <v>1317</v>
      </c>
      <c r="E212" t="s">
        <v>1318</v>
      </c>
      <c r="F212" t="s">
        <v>612</v>
      </c>
      <c r="G212" t="s">
        <v>613</v>
      </c>
      <c r="H212" t="s">
        <v>618</v>
      </c>
    </row>
    <row r="213" spans="1:8" x14ac:dyDescent="0.25">
      <c r="A213" t="s">
        <v>555</v>
      </c>
      <c r="B213" t="s">
        <v>1319</v>
      </c>
      <c r="C213" t="s">
        <v>752</v>
      </c>
      <c r="D213" t="s">
        <v>1320</v>
      </c>
      <c r="E213" t="s">
        <v>1321</v>
      </c>
      <c r="F213" t="s">
        <v>612</v>
      </c>
      <c r="G213" t="s">
        <v>613</v>
      </c>
      <c r="H213" t="s">
        <v>618</v>
      </c>
    </row>
    <row r="214" spans="1:8" x14ac:dyDescent="0.25">
      <c r="A214" t="s">
        <v>1322</v>
      </c>
      <c r="B214" t="s">
        <v>1323</v>
      </c>
      <c r="C214" t="s">
        <v>168</v>
      </c>
      <c r="D214" t="s">
        <v>1324</v>
      </c>
      <c r="F214" t="s">
        <v>612</v>
      </c>
      <c r="G214" t="s">
        <v>613</v>
      </c>
      <c r="H214" t="s">
        <v>655</v>
      </c>
    </row>
    <row r="215" spans="1:8" x14ac:dyDescent="0.25">
      <c r="A215" t="s">
        <v>1325</v>
      </c>
      <c r="B215" t="s">
        <v>1326</v>
      </c>
      <c r="C215" t="s">
        <v>86</v>
      </c>
      <c r="D215" t="s">
        <v>1327</v>
      </c>
      <c r="F215" t="s">
        <v>612</v>
      </c>
      <c r="G215" t="s">
        <v>613</v>
      </c>
      <c r="H215" t="s">
        <v>634</v>
      </c>
    </row>
    <row r="216" spans="1:8" x14ac:dyDescent="0.25">
      <c r="A216" t="s">
        <v>1328</v>
      </c>
      <c r="B216" t="s">
        <v>1329</v>
      </c>
      <c r="C216" t="s">
        <v>678</v>
      </c>
      <c r="D216" t="s">
        <v>1330</v>
      </c>
      <c r="E216" t="s">
        <v>1331</v>
      </c>
      <c r="F216" t="s">
        <v>612</v>
      </c>
      <c r="G216" t="s">
        <v>613</v>
      </c>
      <c r="H216" t="s">
        <v>681</v>
      </c>
    </row>
    <row r="217" spans="1:8" x14ac:dyDescent="0.25">
      <c r="A217" t="s">
        <v>1332</v>
      </c>
      <c r="B217" t="s">
        <v>1333</v>
      </c>
      <c r="C217" t="s">
        <v>744</v>
      </c>
      <c r="D217" t="s">
        <v>1334</v>
      </c>
      <c r="F217" t="s">
        <v>612</v>
      </c>
      <c r="G217" t="s">
        <v>613</v>
      </c>
      <c r="H217" t="s">
        <v>618</v>
      </c>
    </row>
    <row r="218" spans="1:8" x14ac:dyDescent="0.25">
      <c r="A218" t="s">
        <v>1335</v>
      </c>
      <c r="B218" t="s">
        <v>1336</v>
      </c>
      <c r="C218" t="s">
        <v>836</v>
      </c>
      <c r="D218" t="s">
        <v>791</v>
      </c>
      <c r="E218" t="s">
        <v>1337</v>
      </c>
      <c r="F218" t="s">
        <v>612</v>
      </c>
      <c r="G218" t="s">
        <v>613</v>
      </c>
      <c r="H218" t="s">
        <v>655</v>
      </c>
    </row>
    <row r="219" spans="1:8" x14ac:dyDescent="0.25">
      <c r="A219" t="s">
        <v>1338</v>
      </c>
      <c r="B219" t="s">
        <v>1339</v>
      </c>
      <c r="E219" t="s">
        <v>1340</v>
      </c>
      <c r="F219" t="s">
        <v>612</v>
      </c>
      <c r="G219" t="s">
        <v>613</v>
      </c>
      <c r="H219" t="s">
        <v>648</v>
      </c>
    </row>
    <row r="220" spans="1:8" x14ac:dyDescent="0.25">
      <c r="A220" t="s">
        <v>1341</v>
      </c>
      <c r="B220" t="s">
        <v>1342</v>
      </c>
      <c r="C220" t="s">
        <v>749</v>
      </c>
      <c r="D220" t="s">
        <v>1343</v>
      </c>
      <c r="F220" t="s">
        <v>612</v>
      </c>
      <c r="G220" t="s">
        <v>613</v>
      </c>
      <c r="H220" t="s">
        <v>618</v>
      </c>
    </row>
    <row r="221" spans="1:8" x14ac:dyDescent="0.25">
      <c r="A221" t="s">
        <v>1344</v>
      </c>
      <c r="B221" t="s">
        <v>1345</v>
      </c>
      <c r="C221" t="s">
        <v>1346</v>
      </c>
      <c r="D221" t="s">
        <v>1214</v>
      </c>
      <c r="F221" t="s">
        <v>612</v>
      </c>
      <c r="G221" t="s">
        <v>613</v>
      </c>
      <c r="H221" t="s">
        <v>618</v>
      </c>
    </row>
    <row r="222" spans="1:8" x14ac:dyDescent="0.25">
      <c r="A222" t="s">
        <v>166</v>
      </c>
      <c r="B222" t="s">
        <v>1347</v>
      </c>
      <c r="C222" t="s">
        <v>1348</v>
      </c>
      <c r="D222" t="s">
        <v>1349</v>
      </c>
      <c r="E222" t="s">
        <v>1350</v>
      </c>
      <c r="F222" t="s">
        <v>612</v>
      </c>
      <c r="G222" t="s">
        <v>613</v>
      </c>
      <c r="H222" t="s">
        <v>892</v>
      </c>
    </row>
    <row r="223" spans="1:8" x14ac:dyDescent="0.25">
      <c r="A223" t="s">
        <v>471</v>
      </c>
      <c r="B223" t="s">
        <v>1351</v>
      </c>
      <c r="C223" t="s">
        <v>749</v>
      </c>
      <c r="D223" t="s">
        <v>1352</v>
      </c>
      <c r="E223" t="s">
        <v>1353</v>
      </c>
      <c r="F223" t="s">
        <v>612</v>
      </c>
      <c r="G223" t="s">
        <v>613</v>
      </c>
      <c r="H223" t="s">
        <v>618</v>
      </c>
    </row>
    <row r="224" spans="1:8" x14ac:dyDescent="0.25">
      <c r="A224" t="s">
        <v>1354</v>
      </c>
      <c r="B224" t="s">
        <v>1355</v>
      </c>
      <c r="C224" t="s">
        <v>661</v>
      </c>
      <c r="D224" t="s">
        <v>632</v>
      </c>
      <c r="E224" t="s">
        <v>1356</v>
      </c>
      <c r="F224" t="s">
        <v>612</v>
      </c>
      <c r="G224" t="s">
        <v>613</v>
      </c>
      <c r="H224" t="s">
        <v>634</v>
      </c>
    </row>
    <row r="225" spans="1:8" x14ac:dyDescent="0.25">
      <c r="A225" t="s">
        <v>1357</v>
      </c>
      <c r="B225" t="s">
        <v>1358</v>
      </c>
      <c r="C225" t="s">
        <v>836</v>
      </c>
      <c r="D225" t="s">
        <v>791</v>
      </c>
      <c r="E225" t="s">
        <v>1359</v>
      </c>
      <c r="F225" t="s">
        <v>612</v>
      </c>
      <c r="G225" t="s">
        <v>613</v>
      </c>
      <c r="H225" t="s">
        <v>634</v>
      </c>
    </row>
    <row r="226" spans="1:8" x14ac:dyDescent="0.25">
      <c r="A226" t="s">
        <v>1360</v>
      </c>
      <c r="B226" t="s">
        <v>1361</v>
      </c>
      <c r="C226" t="s">
        <v>678</v>
      </c>
      <c r="D226" t="s">
        <v>1362</v>
      </c>
      <c r="E226" t="s">
        <v>1363</v>
      </c>
      <c r="F226" t="s">
        <v>612</v>
      </c>
      <c r="G226" t="s">
        <v>613</v>
      </c>
      <c r="H226" t="s">
        <v>681</v>
      </c>
    </row>
    <row r="227" spans="1:8" x14ac:dyDescent="0.25">
      <c r="A227" t="s">
        <v>1364</v>
      </c>
      <c r="B227" t="s">
        <v>1365</v>
      </c>
      <c r="C227" t="s">
        <v>700</v>
      </c>
      <c r="D227" t="s">
        <v>850</v>
      </c>
      <c r="E227" t="s">
        <v>1366</v>
      </c>
      <c r="F227" t="s">
        <v>612</v>
      </c>
      <c r="G227" t="s">
        <v>613</v>
      </c>
      <c r="H227" t="s">
        <v>618</v>
      </c>
    </row>
    <row r="228" spans="1:8" x14ac:dyDescent="0.25">
      <c r="A228" t="s">
        <v>319</v>
      </c>
      <c r="B228" t="s">
        <v>1367</v>
      </c>
      <c r="C228" t="s">
        <v>1368</v>
      </c>
      <c r="D228" t="s">
        <v>1369</v>
      </c>
      <c r="E228" t="s">
        <v>1370</v>
      </c>
      <c r="F228" t="s">
        <v>612</v>
      </c>
      <c r="G228" t="s">
        <v>613</v>
      </c>
      <c r="H228" t="s">
        <v>655</v>
      </c>
    </row>
    <row r="229" spans="1:8" x14ac:dyDescent="0.25">
      <c r="A229" t="s">
        <v>1371</v>
      </c>
      <c r="B229" t="s">
        <v>1372</v>
      </c>
      <c r="C229" t="s">
        <v>1373</v>
      </c>
      <c r="D229" t="s">
        <v>791</v>
      </c>
      <c r="E229" t="s">
        <v>1374</v>
      </c>
      <c r="F229" t="s">
        <v>612</v>
      </c>
      <c r="G229" t="s">
        <v>613</v>
      </c>
      <c r="H229" t="s">
        <v>634</v>
      </c>
    </row>
    <row r="230" spans="1:8" x14ac:dyDescent="0.25">
      <c r="A230" t="s">
        <v>217</v>
      </c>
      <c r="B230" t="s">
        <v>1375</v>
      </c>
      <c r="C230" t="s">
        <v>768</v>
      </c>
      <c r="D230" t="s">
        <v>769</v>
      </c>
      <c r="E230" t="s">
        <v>1376</v>
      </c>
      <c r="F230" t="s">
        <v>612</v>
      </c>
      <c r="G230" t="s">
        <v>613</v>
      </c>
      <c r="H230" t="s">
        <v>655</v>
      </c>
    </row>
    <row r="231" spans="1:8" x14ac:dyDescent="0.25">
      <c r="A231" t="s">
        <v>1377</v>
      </c>
      <c r="B231" t="s">
        <v>1378</v>
      </c>
      <c r="C231" t="s">
        <v>1379</v>
      </c>
      <c r="D231" t="s">
        <v>1380</v>
      </c>
      <c r="E231" t="s">
        <v>1381</v>
      </c>
      <c r="F231" t="s">
        <v>612</v>
      </c>
      <c r="G231" t="s">
        <v>613</v>
      </c>
      <c r="H231" t="s">
        <v>648</v>
      </c>
    </row>
    <row r="232" spans="1:8" x14ac:dyDescent="0.25">
      <c r="A232" t="s">
        <v>1382</v>
      </c>
      <c r="B232" t="s">
        <v>1383</v>
      </c>
      <c r="C232" t="s">
        <v>1080</v>
      </c>
      <c r="D232" t="s">
        <v>1384</v>
      </c>
      <c r="E232" t="s">
        <v>1385</v>
      </c>
      <c r="F232" t="s">
        <v>612</v>
      </c>
      <c r="G232" t="s">
        <v>613</v>
      </c>
      <c r="H232" t="s">
        <v>681</v>
      </c>
    </row>
    <row r="233" spans="1:8" x14ac:dyDescent="0.25">
      <c r="A233" t="s">
        <v>1386</v>
      </c>
      <c r="B233" t="s">
        <v>1387</v>
      </c>
      <c r="C233" t="s">
        <v>876</v>
      </c>
      <c r="D233" t="s">
        <v>877</v>
      </c>
      <c r="E233" t="s">
        <v>1388</v>
      </c>
      <c r="F233" t="s">
        <v>612</v>
      </c>
      <c r="G233" t="s">
        <v>613</v>
      </c>
      <c r="H233" t="s">
        <v>618</v>
      </c>
    </row>
    <row r="234" spans="1:8" x14ac:dyDescent="0.25">
      <c r="A234" t="s">
        <v>143</v>
      </c>
      <c r="B234" t="s">
        <v>1389</v>
      </c>
      <c r="C234" t="s">
        <v>1390</v>
      </c>
      <c r="D234" t="s">
        <v>1391</v>
      </c>
      <c r="F234" t="s">
        <v>612</v>
      </c>
      <c r="G234" t="s">
        <v>613</v>
      </c>
      <c r="H234" t="s">
        <v>648</v>
      </c>
    </row>
    <row r="235" spans="1:8" x14ac:dyDescent="0.25">
      <c r="A235" t="s">
        <v>1392</v>
      </c>
      <c r="B235" t="s">
        <v>1393</v>
      </c>
      <c r="C235" t="s">
        <v>616</v>
      </c>
      <c r="D235" t="s">
        <v>1394</v>
      </c>
      <c r="F235" t="s">
        <v>612</v>
      </c>
      <c r="G235" t="s">
        <v>613</v>
      </c>
      <c r="H235" t="s">
        <v>618</v>
      </c>
    </row>
    <row r="236" spans="1:8" x14ac:dyDescent="0.25">
      <c r="A236" t="s">
        <v>364</v>
      </c>
      <c r="B236" t="s">
        <v>1395</v>
      </c>
      <c r="C236" t="s">
        <v>1396</v>
      </c>
      <c r="D236" t="s">
        <v>1397</v>
      </c>
      <c r="E236" t="s">
        <v>1398</v>
      </c>
      <c r="F236" t="s">
        <v>612</v>
      </c>
      <c r="G236" t="s">
        <v>613</v>
      </c>
      <c r="H236" t="s">
        <v>648</v>
      </c>
    </row>
    <row r="237" spans="1:8" x14ac:dyDescent="0.25">
      <c r="A237" t="s">
        <v>456</v>
      </c>
      <c r="B237" t="s">
        <v>1399</v>
      </c>
      <c r="C237" t="s">
        <v>1244</v>
      </c>
      <c r="D237" t="s">
        <v>1400</v>
      </c>
      <c r="E237" t="s">
        <v>1401</v>
      </c>
      <c r="F237" t="s">
        <v>612</v>
      </c>
      <c r="G237" t="s">
        <v>613</v>
      </c>
      <c r="H237" t="s">
        <v>618</v>
      </c>
    </row>
    <row r="238" spans="1:8" x14ac:dyDescent="0.25">
      <c r="A238" t="s">
        <v>1402</v>
      </c>
      <c r="B238" t="s">
        <v>1403</v>
      </c>
      <c r="C238" t="s">
        <v>616</v>
      </c>
      <c r="D238" t="s">
        <v>977</v>
      </c>
      <c r="F238" t="s">
        <v>612</v>
      </c>
      <c r="G238" t="s">
        <v>613</v>
      </c>
      <c r="H238" t="s">
        <v>618</v>
      </c>
    </row>
    <row r="239" spans="1:8" x14ac:dyDescent="0.25">
      <c r="A239" t="s">
        <v>1404</v>
      </c>
      <c r="B239" t="s">
        <v>1405</v>
      </c>
      <c r="C239" t="s">
        <v>1406</v>
      </c>
      <c r="D239" t="s">
        <v>1407</v>
      </c>
      <c r="E239" t="s">
        <v>1408</v>
      </c>
      <c r="F239" t="s">
        <v>612</v>
      </c>
      <c r="G239" t="s">
        <v>613</v>
      </c>
      <c r="H239" t="s">
        <v>655</v>
      </c>
    </row>
    <row r="240" spans="1:8" x14ac:dyDescent="0.25">
      <c r="A240" t="s">
        <v>1409</v>
      </c>
      <c r="B240" t="s">
        <v>1410</v>
      </c>
      <c r="C240" t="s">
        <v>1411</v>
      </c>
      <c r="D240" t="s">
        <v>1412</v>
      </c>
      <c r="E240" t="s">
        <v>1413</v>
      </c>
      <c r="F240" t="s">
        <v>612</v>
      </c>
      <c r="G240" t="s">
        <v>613</v>
      </c>
      <c r="H240" t="s">
        <v>618</v>
      </c>
    </row>
    <row r="241" spans="1:8" x14ac:dyDescent="0.25">
      <c r="A241" t="s">
        <v>1414</v>
      </c>
      <c r="B241" t="s">
        <v>1415</v>
      </c>
      <c r="C241" t="s">
        <v>67</v>
      </c>
      <c r="D241" t="s">
        <v>1416</v>
      </c>
      <c r="E241" t="s">
        <v>1417</v>
      </c>
      <c r="F241" t="s">
        <v>612</v>
      </c>
      <c r="G241" t="s">
        <v>613</v>
      </c>
      <c r="H241" t="s">
        <v>618</v>
      </c>
    </row>
    <row r="242" spans="1:8" x14ac:dyDescent="0.25">
      <c r="A242" t="s">
        <v>1418</v>
      </c>
      <c r="B242" t="s">
        <v>1419</v>
      </c>
      <c r="C242" t="s">
        <v>1368</v>
      </c>
      <c r="D242" t="s">
        <v>1420</v>
      </c>
      <c r="E242" t="s">
        <v>1421</v>
      </c>
      <c r="F242" t="s">
        <v>612</v>
      </c>
      <c r="G242" t="s">
        <v>613</v>
      </c>
      <c r="H242" t="s">
        <v>655</v>
      </c>
    </row>
    <row r="243" spans="1:8" x14ac:dyDescent="0.25">
      <c r="A243" t="s">
        <v>1422</v>
      </c>
      <c r="B243" t="s">
        <v>1423</v>
      </c>
      <c r="C243" t="s">
        <v>691</v>
      </c>
      <c r="D243" t="s">
        <v>1424</v>
      </c>
      <c r="E243" t="s">
        <v>1425</v>
      </c>
      <c r="F243" t="s">
        <v>612</v>
      </c>
      <c r="G243" t="s">
        <v>613</v>
      </c>
      <c r="H243" t="s">
        <v>634</v>
      </c>
    </row>
    <row r="244" spans="1:8" x14ac:dyDescent="0.25">
      <c r="A244" t="s">
        <v>1426</v>
      </c>
      <c r="B244" t="s">
        <v>1427</v>
      </c>
      <c r="C244" t="s">
        <v>700</v>
      </c>
      <c r="D244" t="s">
        <v>1428</v>
      </c>
      <c r="F244" t="s">
        <v>612</v>
      </c>
      <c r="G244" t="s">
        <v>613</v>
      </c>
      <c r="H244" t="s">
        <v>618</v>
      </c>
    </row>
    <row r="245" spans="1:8" x14ac:dyDescent="0.25">
      <c r="A245" t="s">
        <v>1429</v>
      </c>
      <c r="B245" t="s">
        <v>1430</v>
      </c>
      <c r="C245" t="s">
        <v>1431</v>
      </c>
      <c r="D245" t="s">
        <v>1424</v>
      </c>
      <c r="E245" t="s">
        <v>1432</v>
      </c>
      <c r="F245" t="s">
        <v>612</v>
      </c>
      <c r="G245" t="s">
        <v>613</v>
      </c>
      <c r="H245" t="s">
        <v>681</v>
      </c>
    </row>
    <row r="246" spans="1:8" x14ac:dyDescent="0.25">
      <c r="A246" t="s">
        <v>174</v>
      </c>
      <c r="B246" t="s">
        <v>1433</v>
      </c>
      <c r="C246" t="s">
        <v>1434</v>
      </c>
      <c r="D246" t="s">
        <v>1435</v>
      </c>
      <c r="E246" t="s">
        <v>1436</v>
      </c>
      <c r="F246" t="s">
        <v>612</v>
      </c>
      <c r="G246" t="s">
        <v>613</v>
      </c>
      <c r="H246" t="s">
        <v>628</v>
      </c>
    </row>
    <row r="247" spans="1:8" x14ac:dyDescent="0.25">
      <c r="A247" t="s">
        <v>1437</v>
      </c>
      <c r="B247" t="s">
        <v>1438</v>
      </c>
      <c r="C247" t="s">
        <v>691</v>
      </c>
      <c r="D247" t="s">
        <v>769</v>
      </c>
      <c r="F247" t="s">
        <v>612</v>
      </c>
      <c r="G247" t="s">
        <v>613</v>
      </c>
      <c r="H247" t="s">
        <v>634</v>
      </c>
    </row>
    <row r="248" spans="1:8" x14ac:dyDescent="0.25">
      <c r="A248" t="s">
        <v>1439</v>
      </c>
      <c r="B248" t="s">
        <v>1440</v>
      </c>
      <c r="C248" t="s">
        <v>640</v>
      </c>
      <c r="D248" t="s">
        <v>1441</v>
      </c>
      <c r="E248" t="s">
        <v>1442</v>
      </c>
      <c r="F248" t="s">
        <v>612</v>
      </c>
      <c r="G248" t="s">
        <v>613</v>
      </c>
      <c r="H248" t="s">
        <v>618</v>
      </c>
    </row>
    <row r="249" spans="1:8" x14ac:dyDescent="0.25">
      <c r="A249" t="s">
        <v>1443</v>
      </c>
      <c r="B249" t="s">
        <v>1444</v>
      </c>
      <c r="C249" t="s">
        <v>1033</v>
      </c>
      <c r="D249" t="s">
        <v>1327</v>
      </c>
      <c r="F249" t="s">
        <v>612</v>
      </c>
      <c r="G249" t="s">
        <v>613</v>
      </c>
      <c r="H249" t="s">
        <v>655</v>
      </c>
    </row>
    <row r="250" spans="1:8" x14ac:dyDescent="0.25">
      <c r="A250" t="s">
        <v>1445</v>
      </c>
      <c r="B250" t="s">
        <v>1446</v>
      </c>
      <c r="C250" t="s">
        <v>700</v>
      </c>
      <c r="D250" t="s">
        <v>1447</v>
      </c>
      <c r="F250" t="s">
        <v>612</v>
      </c>
      <c r="G250" t="s">
        <v>613</v>
      </c>
      <c r="H250" t="s">
        <v>618</v>
      </c>
    </row>
    <row r="251" spans="1:8" x14ac:dyDescent="0.25">
      <c r="A251" t="s">
        <v>1448</v>
      </c>
      <c r="B251" t="s">
        <v>1449</v>
      </c>
      <c r="C251" t="s">
        <v>744</v>
      </c>
      <c r="D251" t="s">
        <v>1450</v>
      </c>
      <c r="E251" t="s">
        <v>1451</v>
      </c>
      <c r="F251" t="s">
        <v>612</v>
      </c>
      <c r="G251" t="s">
        <v>613</v>
      </c>
      <c r="H251" t="s">
        <v>618</v>
      </c>
    </row>
    <row r="252" spans="1:8" x14ac:dyDescent="0.25">
      <c r="A252" t="s">
        <v>1452</v>
      </c>
      <c r="B252" t="s">
        <v>1453</v>
      </c>
      <c r="C252" t="s">
        <v>1454</v>
      </c>
      <c r="D252" t="s">
        <v>791</v>
      </c>
      <c r="E252" t="s">
        <v>1455</v>
      </c>
      <c r="F252" t="s">
        <v>612</v>
      </c>
      <c r="G252" t="s">
        <v>613</v>
      </c>
      <c r="H252" t="s">
        <v>634</v>
      </c>
    </row>
    <row r="253" spans="1:8" x14ac:dyDescent="0.25">
      <c r="A253" t="s">
        <v>1456</v>
      </c>
      <c r="B253" t="s">
        <v>1457</v>
      </c>
      <c r="C253" t="s">
        <v>744</v>
      </c>
      <c r="D253" t="s">
        <v>745</v>
      </c>
      <c r="E253" t="s">
        <v>1458</v>
      </c>
      <c r="F253" t="s">
        <v>612</v>
      </c>
      <c r="G253" t="s">
        <v>613</v>
      </c>
      <c r="H253" t="s">
        <v>618</v>
      </c>
    </row>
    <row r="254" spans="1:8" x14ac:dyDescent="0.25">
      <c r="A254" t="s">
        <v>1459</v>
      </c>
      <c r="B254" t="s">
        <v>1460</v>
      </c>
      <c r="C254" t="s">
        <v>700</v>
      </c>
      <c r="D254" t="s">
        <v>1461</v>
      </c>
      <c r="F254" t="s">
        <v>612</v>
      </c>
      <c r="G254" t="s">
        <v>613</v>
      </c>
      <c r="H254" t="s">
        <v>618</v>
      </c>
    </row>
    <row r="255" spans="1:8" x14ac:dyDescent="0.25">
      <c r="A255" t="s">
        <v>1462</v>
      </c>
      <c r="B255" t="s">
        <v>1463</v>
      </c>
      <c r="E255" t="s">
        <v>1464</v>
      </c>
      <c r="F255" t="s">
        <v>612</v>
      </c>
      <c r="G255" t="s">
        <v>613</v>
      </c>
      <c r="H255" t="s">
        <v>655</v>
      </c>
    </row>
    <row r="256" spans="1:8" x14ac:dyDescent="0.25">
      <c r="A256" t="s">
        <v>1465</v>
      </c>
      <c r="B256" t="s">
        <v>1466</v>
      </c>
      <c r="C256" t="s">
        <v>1467</v>
      </c>
      <c r="D256" t="s">
        <v>919</v>
      </c>
      <c r="E256" t="s">
        <v>1468</v>
      </c>
      <c r="F256" t="s">
        <v>612</v>
      </c>
      <c r="G256" t="s">
        <v>613</v>
      </c>
      <c r="H256" t="s">
        <v>681</v>
      </c>
    </row>
    <row r="257" spans="1:8" x14ac:dyDescent="0.25">
      <c r="A257" t="s">
        <v>1469</v>
      </c>
      <c r="B257" t="s">
        <v>1470</v>
      </c>
      <c r="C257" t="s">
        <v>67</v>
      </c>
      <c r="D257" t="s">
        <v>1471</v>
      </c>
      <c r="E257" t="s">
        <v>1472</v>
      </c>
      <c r="F257" t="s">
        <v>612</v>
      </c>
      <c r="G257" t="s">
        <v>613</v>
      </c>
      <c r="H257" t="s">
        <v>655</v>
      </c>
    </row>
    <row r="258" spans="1:8" x14ac:dyDescent="0.25">
      <c r="A258" t="s">
        <v>1473</v>
      </c>
      <c r="B258" t="s">
        <v>1474</v>
      </c>
      <c r="C258" t="s">
        <v>744</v>
      </c>
      <c r="D258" t="s">
        <v>1038</v>
      </c>
      <c r="F258" t="s">
        <v>612</v>
      </c>
      <c r="G258" t="s">
        <v>613</v>
      </c>
      <c r="H258" t="s">
        <v>618</v>
      </c>
    </row>
    <row r="259" spans="1:8" x14ac:dyDescent="0.25">
      <c r="A259" t="s">
        <v>1475</v>
      </c>
      <c r="B259" t="s">
        <v>1476</v>
      </c>
      <c r="C259" t="s">
        <v>1477</v>
      </c>
      <c r="D259" t="s">
        <v>1478</v>
      </c>
      <c r="E259" t="s">
        <v>1479</v>
      </c>
      <c r="F259" t="s">
        <v>612</v>
      </c>
      <c r="G259" t="s">
        <v>613</v>
      </c>
      <c r="H259" t="s">
        <v>648</v>
      </c>
    </row>
    <row r="260" spans="1:8" x14ac:dyDescent="0.25">
      <c r="A260" t="s">
        <v>162</v>
      </c>
      <c r="B260" t="s">
        <v>1480</v>
      </c>
      <c r="C260" t="s">
        <v>716</v>
      </c>
      <c r="D260" t="s">
        <v>713</v>
      </c>
      <c r="F260" t="s">
        <v>612</v>
      </c>
      <c r="G260" t="s">
        <v>613</v>
      </c>
      <c r="H260" t="s">
        <v>655</v>
      </c>
    </row>
    <row r="261" spans="1:8" x14ac:dyDescent="0.25">
      <c r="A261" t="s">
        <v>1481</v>
      </c>
      <c r="B261" t="s">
        <v>1482</v>
      </c>
      <c r="C261" t="s">
        <v>621</v>
      </c>
      <c r="D261" t="s">
        <v>1483</v>
      </c>
      <c r="E261" t="s">
        <v>1484</v>
      </c>
      <c r="F261" t="s">
        <v>612</v>
      </c>
      <c r="G261" t="s">
        <v>613</v>
      </c>
      <c r="H261" t="s">
        <v>618</v>
      </c>
    </row>
    <row r="262" spans="1:8" x14ac:dyDescent="0.25">
      <c r="A262" t="s">
        <v>1485</v>
      </c>
      <c r="B262" t="s">
        <v>1486</v>
      </c>
      <c r="C262" t="s">
        <v>814</v>
      </c>
      <c r="D262" t="s">
        <v>769</v>
      </c>
      <c r="F262" t="s">
        <v>612</v>
      </c>
      <c r="G262" t="s">
        <v>613</v>
      </c>
      <c r="H262" t="s">
        <v>618</v>
      </c>
    </row>
    <row r="263" spans="1:8" x14ac:dyDescent="0.25">
      <c r="A263" t="s">
        <v>480</v>
      </c>
      <c r="B263" t="s">
        <v>1487</v>
      </c>
      <c r="C263" t="s">
        <v>814</v>
      </c>
      <c r="D263" t="s">
        <v>1488</v>
      </c>
      <c r="E263" t="s">
        <v>1489</v>
      </c>
      <c r="F263" t="s">
        <v>612</v>
      </c>
      <c r="G263" t="s">
        <v>613</v>
      </c>
      <c r="H263" t="s">
        <v>618</v>
      </c>
    </row>
    <row r="264" spans="1:8" x14ac:dyDescent="0.25">
      <c r="A264" t="s">
        <v>1490</v>
      </c>
      <c r="B264" t="s">
        <v>1491</v>
      </c>
      <c r="C264" t="s">
        <v>700</v>
      </c>
      <c r="D264" t="s">
        <v>1492</v>
      </c>
      <c r="F264" t="s">
        <v>612</v>
      </c>
      <c r="G264" t="s">
        <v>613</v>
      </c>
      <c r="H264" t="s">
        <v>618</v>
      </c>
    </row>
    <row r="265" spans="1:8" x14ac:dyDescent="0.25">
      <c r="A265" t="s">
        <v>1493</v>
      </c>
      <c r="B265" t="s">
        <v>1494</v>
      </c>
      <c r="C265" t="s">
        <v>168</v>
      </c>
      <c r="D265" t="s">
        <v>641</v>
      </c>
      <c r="E265" t="s">
        <v>1495</v>
      </c>
      <c r="F265" t="s">
        <v>612</v>
      </c>
      <c r="G265" t="s">
        <v>613</v>
      </c>
      <c r="H265" t="s">
        <v>655</v>
      </c>
    </row>
    <row r="266" spans="1:8" x14ac:dyDescent="0.25">
      <c r="A266" t="s">
        <v>1496</v>
      </c>
      <c r="B266" t="s">
        <v>1497</v>
      </c>
      <c r="C266" t="s">
        <v>700</v>
      </c>
      <c r="D266" t="s">
        <v>1498</v>
      </c>
      <c r="F266" t="s">
        <v>612</v>
      </c>
      <c r="G266" t="s">
        <v>613</v>
      </c>
      <c r="H266" t="s">
        <v>618</v>
      </c>
    </row>
    <row r="267" spans="1:8" x14ac:dyDescent="0.25">
      <c r="A267" t="s">
        <v>512</v>
      </c>
      <c r="B267" t="s">
        <v>1499</v>
      </c>
      <c r="C267" t="s">
        <v>616</v>
      </c>
      <c r="D267" t="s">
        <v>1500</v>
      </c>
      <c r="E267" t="s">
        <v>1501</v>
      </c>
      <c r="F267" t="s">
        <v>612</v>
      </c>
      <c r="G267" t="s">
        <v>613</v>
      </c>
      <c r="H267" t="s">
        <v>618</v>
      </c>
    </row>
    <row r="268" spans="1:8" x14ac:dyDescent="0.25">
      <c r="A268" t="s">
        <v>1502</v>
      </c>
      <c r="B268" t="s">
        <v>1503</v>
      </c>
      <c r="E268" t="s">
        <v>1504</v>
      </c>
      <c r="F268" t="s">
        <v>612</v>
      </c>
      <c r="G268" t="s">
        <v>613</v>
      </c>
      <c r="H268" t="s">
        <v>655</v>
      </c>
    </row>
    <row r="269" spans="1:8" x14ac:dyDescent="0.25">
      <c r="A269" t="s">
        <v>1505</v>
      </c>
      <c r="B269" t="s">
        <v>1506</v>
      </c>
      <c r="C269" t="s">
        <v>1346</v>
      </c>
      <c r="D269" t="s">
        <v>1214</v>
      </c>
      <c r="F269" t="s">
        <v>612</v>
      </c>
      <c r="G269" t="s">
        <v>613</v>
      </c>
      <c r="H269" t="s">
        <v>618</v>
      </c>
    </row>
    <row r="270" spans="1:8" x14ac:dyDescent="0.25">
      <c r="A270" t="s">
        <v>1509</v>
      </c>
      <c r="B270" t="s">
        <v>1510</v>
      </c>
      <c r="E270" t="s">
        <v>1511</v>
      </c>
      <c r="F270" t="s">
        <v>612</v>
      </c>
      <c r="G270" t="s">
        <v>613</v>
      </c>
      <c r="H270" t="s">
        <v>618</v>
      </c>
    </row>
    <row r="271" spans="1:8" x14ac:dyDescent="0.25">
      <c r="A271" t="s">
        <v>206</v>
      </c>
      <c r="B271" t="s">
        <v>1512</v>
      </c>
      <c r="C271" t="s">
        <v>1513</v>
      </c>
      <c r="D271" t="s">
        <v>1514</v>
      </c>
      <c r="E271" t="s">
        <v>1515</v>
      </c>
      <c r="F271" t="s">
        <v>612</v>
      </c>
      <c r="G271" t="s">
        <v>613</v>
      </c>
      <c r="H271" t="s">
        <v>892</v>
      </c>
    </row>
    <row r="272" spans="1:8" x14ac:dyDescent="0.25">
      <c r="A272" t="s">
        <v>96</v>
      </c>
      <c r="B272" t="s">
        <v>1516</v>
      </c>
      <c r="C272" t="s">
        <v>86</v>
      </c>
      <c r="D272" t="s">
        <v>1517</v>
      </c>
      <c r="F272" t="s">
        <v>612</v>
      </c>
      <c r="G272" t="s">
        <v>613</v>
      </c>
      <c r="H272" t="s">
        <v>634</v>
      </c>
    </row>
    <row r="273" spans="1:8" x14ac:dyDescent="0.25">
      <c r="A273" t="s">
        <v>1518</v>
      </c>
      <c r="B273" t="s">
        <v>1519</v>
      </c>
      <c r="C273" t="s">
        <v>168</v>
      </c>
      <c r="D273" t="s">
        <v>1520</v>
      </c>
      <c r="E273" t="s">
        <v>1521</v>
      </c>
      <c r="F273" t="s">
        <v>612</v>
      </c>
      <c r="G273" t="s">
        <v>613</v>
      </c>
      <c r="H273" t="s">
        <v>655</v>
      </c>
    </row>
    <row r="274" spans="1:8" x14ac:dyDescent="0.25">
      <c r="A274" t="s">
        <v>1522</v>
      </c>
      <c r="B274" t="s">
        <v>1523</v>
      </c>
      <c r="C274" t="s">
        <v>716</v>
      </c>
      <c r="D274" t="s">
        <v>1524</v>
      </c>
      <c r="E274" t="s">
        <v>1525</v>
      </c>
      <c r="F274" t="s">
        <v>612</v>
      </c>
      <c r="G274" t="s">
        <v>613</v>
      </c>
      <c r="H274" t="s">
        <v>655</v>
      </c>
    </row>
    <row r="275" spans="1:8" x14ac:dyDescent="0.25">
      <c r="A275" t="s">
        <v>509</v>
      </c>
      <c r="B275" t="s">
        <v>1526</v>
      </c>
      <c r="C275" t="s">
        <v>752</v>
      </c>
      <c r="D275" t="s">
        <v>1217</v>
      </c>
      <c r="E275" t="s">
        <v>1527</v>
      </c>
      <c r="F275" t="s">
        <v>612</v>
      </c>
      <c r="G275" t="s">
        <v>613</v>
      </c>
      <c r="H275" t="s">
        <v>618</v>
      </c>
    </row>
    <row r="276" spans="1:8" x14ac:dyDescent="0.25">
      <c r="A276" t="s">
        <v>1528</v>
      </c>
      <c r="B276" t="s">
        <v>1529</v>
      </c>
      <c r="C276" t="s">
        <v>749</v>
      </c>
      <c r="D276" t="s">
        <v>679</v>
      </c>
      <c r="E276" t="s">
        <v>1530</v>
      </c>
      <c r="F276" t="s">
        <v>612</v>
      </c>
      <c r="G276" t="s">
        <v>613</v>
      </c>
      <c r="H276" t="s">
        <v>618</v>
      </c>
    </row>
    <row r="277" spans="1:8" x14ac:dyDescent="0.25">
      <c r="A277" t="s">
        <v>1531</v>
      </c>
      <c r="B277" t="s">
        <v>1532</v>
      </c>
      <c r="C277" t="s">
        <v>1533</v>
      </c>
      <c r="D277" t="s">
        <v>1534</v>
      </c>
      <c r="E277" t="s">
        <v>1535</v>
      </c>
      <c r="F277" t="s">
        <v>612</v>
      </c>
      <c r="G277" t="s">
        <v>613</v>
      </c>
      <c r="H277" t="s">
        <v>648</v>
      </c>
    </row>
    <row r="278" spans="1:8" x14ac:dyDescent="0.25">
      <c r="A278" t="s">
        <v>345</v>
      </c>
      <c r="B278" t="s">
        <v>1536</v>
      </c>
      <c r="C278" t="s">
        <v>768</v>
      </c>
      <c r="D278" t="s">
        <v>769</v>
      </c>
      <c r="F278" t="s">
        <v>612</v>
      </c>
      <c r="G278" t="s">
        <v>613</v>
      </c>
      <c r="H278" t="s">
        <v>655</v>
      </c>
    </row>
    <row r="279" spans="1:8" x14ac:dyDescent="0.25">
      <c r="A279" t="s">
        <v>1537</v>
      </c>
      <c r="B279" t="s">
        <v>1538</v>
      </c>
      <c r="C279" t="s">
        <v>1190</v>
      </c>
      <c r="D279" t="s">
        <v>1483</v>
      </c>
      <c r="E279" t="s">
        <v>1539</v>
      </c>
      <c r="F279" t="s">
        <v>612</v>
      </c>
      <c r="G279" t="s">
        <v>613</v>
      </c>
      <c r="H279" t="s">
        <v>618</v>
      </c>
    </row>
    <row r="280" spans="1:8" x14ac:dyDescent="0.25">
      <c r="A280" t="s">
        <v>1540</v>
      </c>
      <c r="B280" t="s">
        <v>1541</v>
      </c>
      <c r="C280" t="s">
        <v>678</v>
      </c>
      <c r="D280" t="s">
        <v>1542</v>
      </c>
      <c r="E280" t="s">
        <v>1543</v>
      </c>
      <c r="F280" t="s">
        <v>612</v>
      </c>
      <c r="G280" t="s">
        <v>613</v>
      </c>
      <c r="H280" t="s">
        <v>681</v>
      </c>
    </row>
    <row r="281" spans="1:8" x14ac:dyDescent="0.25">
      <c r="A281" t="s">
        <v>1544</v>
      </c>
      <c r="B281" t="s">
        <v>1545</v>
      </c>
      <c r="C281" t="s">
        <v>661</v>
      </c>
      <c r="D281" t="s">
        <v>1546</v>
      </c>
      <c r="E281" t="s">
        <v>1547</v>
      </c>
      <c r="F281" t="s">
        <v>612</v>
      </c>
      <c r="G281" t="s">
        <v>613</v>
      </c>
      <c r="H281" t="s">
        <v>634</v>
      </c>
    </row>
    <row r="282" spans="1:8" x14ac:dyDescent="0.25">
      <c r="A282" t="s">
        <v>1548</v>
      </c>
      <c r="B282" t="s">
        <v>1549</v>
      </c>
      <c r="C282" t="s">
        <v>173</v>
      </c>
      <c r="D282" t="s">
        <v>1550</v>
      </c>
      <c r="E282" t="s">
        <v>1551</v>
      </c>
      <c r="F282" t="s">
        <v>612</v>
      </c>
      <c r="G282" t="s">
        <v>613</v>
      </c>
      <c r="H282" t="s">
        <v>628</v>
      </c>
    </row>
    <row r="283" spans="1:8" x14ac:dyDescent="0.25">
      <c r="A283" t="s">
        <v>290</v>
      </c>
      <c r="B283" t="s">
        <v>1552</v>
      </c>
      <c r="C283" t="s">
        <v>768</v>
      </c>
      <c r="D283" t="s">
        <v>769</v>
      </c>
      <c r="E283" t="s">
        <v>1553</v>
      </c>
      <c r="F283" t="s">
        <v>612</v>
      </c>
      <c r="G283" t="s">
        <v>613</v>
      </c>
      <c r="H283" t="s">
        <v>655</v>
      </c>
    </row>
    <row r="284" spans="1:8" x14ac:dyDescent="0.25">
      <c r="A284" t="s">
        <v>577</v>
      </c>
      <c r="B284" t="s">
        <v>1554</v>
      </c>
      <c r="C284" t="s">
        <v>1235</v>
      </c>
      <c r="D284" t="s">
        <v>877</v>
      </c>
      <c r="F284" t="s">
        <v>612</v>
      </c>
      <c r="G284" t="s">
        <v>613</v>
      </c>
      <c r="H284" t="s">
        <v>618</v>
      </c>
    </row>
    <row r="285" spans="1:8" x14ac:dyDescent="0.25">
      <c r="A285" t="s">
        <v>462</v>
      </c>
      <c r="B285" t="s">
        <v>1555</v>
      </c>
      <c r="C285" t="s">
        <v>749</v>
      </c>
      <c r="D285" t="s">
        <v>1556</v>
      </c>
      <c r="E285" t="s">
        <v>1557</v>
      </c>
      <c r="F285" t="s">
        <v>612</v>
      </c>
      <c r="G285" t="s">
        <v>613</v>
      </c>
      <c r="H285" t="s">
        <v>618</v>
      </c>
    </row>
    <row r="286" spans="1:8" x14ac:dyDescent="0.25">
      <c r="A286" t="s">
        <v>1558</v>
      </c>
      <c r="B286" t="s">
        <v>1559</v>
      </c>
      <c r="C286" t="s">
        <v>678</v>
      </c>
      <c r="D286" t="s">
        <v>955</v>
      </c>
      <c r="E286" t="s">
        <v>1560</v>
      </c>
      <c r="F286" t="s">
        <v>612</v>
      </c>
      <c r="G286" t="s">
        <v>613</v>
      </c>
      <c r="H286" t="s">
        <v>681</v>
      </c>
    </row>
    <row r="287" spans="1:8" x14ac:dyDescent="0.25">
      <c r="A287" t="s">
        <v>1561</v>
      </c>
      <c r="B287" t="s">
        <v>1562</v>
      </c>
      <c r="C287" t="s">
        <v>1190</v>
      </c>
      <c r="D287" t="s">
        <v>1563</v>
      </c>
      <c r="E287" t="s">
        <v>1564</v>
      </c>
      <c r="F287" t="s">
        <v>612</v>
      </c>
      <c r="G287" t="s">
        <v>613</v>
      </c>
      <c r="H287" t="s">
        <v>1193</v>
      </c>
    </row>
    <row r="288" spans="1:8" x14ac:dyDescent="0.25">
      <c r="A288" t="s">
        <v>442</v>
      </c>
      <c r="B288" t="s">
        <v>1565</v>
      </c>
      <c r="C288" t="s">
        <v>749</v>
      </c>
      <c r="D288" t="s">
        <v>1566</v>
      </c>
      <c r="E288" t="s">
        <v>1567</v>
      </c>
      <c r="F288" t="s">
        <v>612</v>
      </c>
      <c r="G288" t="s">
        <v>613</v>
      </c>
      <c r="H288" t="s">
        <v>618</v>
      </c>
    </row>
    <row r="289" spans="1:8" x14ac:dyDescent="0.25">
      <c r="A289" t="s">
        <v>289</v>
      </c>
      <c r="B289" t="s">
        <v>1568</v>
      </c>
      <c r="C289" t="s">
        <v>768</v>
      </c>
      <c r="D289" t="s">
        <v>769</v>
      </c>
      <c r="E289" t="s">
        <v>1569</v>
      </c>
      <c r="F289" t="s">
        <v>612</v>
      </c>
      <c r="G289" t="s">
        <v>613</v>
      </c>
      <c r="H289" t="s">
        <v>655</v>
      </c>
    </row>
    <row r="290" spans="1:8" x14ac:dyDescent="0.25">
      <c r="A290" t="s">
        <v>444</v>
      </c>
      <c r="B290" t="s">
        <v>1570</v>
      </c>
      <c r="C290" t="s">
        <v>752</v>
      </c>
      <c r="D290" t="s">
        <v>734</v>
      </c>
      <c r="F290" t="s">
        <v>612</v>
      </c>
      <c r="G290" t="s">
        <v>613</v>
      </c>
      <c r="H290" t="s">
        <v>618</v>
      </c>
    </row>
    <row r="291" spans="1:8" x14ac:dyDescent="0.25">
      <c r="A291" t="s">
        <v>1571</v>
      </c>
      <c r="B291" t="s">
        <v>1572</v>
      </c>
      <c r="C291" t="s">
        <v>700</v>
      </c>
      <c r="D291" t="s">
        <v>1573</v>
      </c>
      <c r="E291" t="s">
        <v>1574</v>
      </c>
      <c r="F291" t="s">
        <v>612</v>
      </c>
      <c r="G291" t="s">
        <v>613</v>
      </c>
      <c r="H291" t="s">
        <v>618</v>
      </c>
    </row>
    <row r="292" spans="1:8" x14ac:dyDescent="0.25">
      <c r="A292" t="s">
        <v>504</v>
      </c>
      <c r="B292" t="s">
        <v>1575</v>
      </c>
      <c r="C292" t="s">
        <v>925</v>
      </c>
      <c r="D292" t="s">
        <v>1576</v>
      </c>
      <c r="E292" t="s">
        <v>1577</v>
      </c>
      <c r="F292" t="s">
        <v>612</v>
      </c>
      <c r="G292" t="s">
        <v>613</v>
      </c>
      <c r="H292" t="s">
        <v>618</v>
      </c>
    </row>
    <row r="293" spans="1:8" x14ac:dyDescent="0.25">
      <c r="A293" t="s">
        <v>1578</v>
      </c>
      <c r="B293" t="s">
        <v>1579</v>
      </c>
      <c r="C293" t="s">
        <v>86</v>
      </c>
      <c r="D293" t="s">
        <v>1580</v>
      </c>
      <c r="E293" t="s">
        <v>1581</v>
      </c>
      <c r="F293" t="s">
        <v>612</v>
      </c>
      <c r="G293" t="s">
        <v>613</v>
      </c>
      <c r="H293" t="s">
        <v>634</v>
      </c>
    </row>
    <row r="294" spans="1:8" x14ac:dyDescent="0.25">
      <c r="A294" t="s">
        <v>1582</v>
      </c>
      <c r="B294" t="s">
        <v>1583</v>
      </c>
      <c r="C294" t="s">
        <v>943</v>
      </c>
      <c r="D294" t="s">
        <v>1214</v>
      </c>
      <c r="F294" t="s">
        <v>612</v>
      </c>
      <c r="G294" t="s">
        <v>613</v>
      </c>
      <c r="H294" t="s">
        <v>648</v>
      </c>
    </row>
    <row r="295" spans="1:8" x14ac:dyDescent="0.25">
      <c r="A295" t="s">
        <v>155</v>
      </c>
      <c r="B295" t="s">
        <v>1584</v>
      </c>
      <c r="C295" t="s">
        <v>168</v>
      </c>
      <c r="D295" t="s">
        <v>1585</v>
      </c>
      <c r="E295" t="s">
        <v>1586</v>
      </c>
      <c r="F295" t="s">
        <v>612</v>
      </c>
      <c r="G295" t="s">
        <v>613</v>
      </c>
      <c r="H295" t="s">
        <v>655</v>
      </c>
    </row>
    <row r="296" spans="1:8" x14ac:dyDescent="0.25">
      <c r="A296" t="s">
        <v>1587</v>
      </c>
      <c r="B296" t="s">
        <v>1588</v>
      </c>
      <c r="C296" t="s">
        <v>749</v>
      </c>
      <c r="D296" t="s">
        <v>1589</v>
      </c>
      <c r="F296" t="s">
        <v>612</v>
      </c>
      <c r="G296" t="s">
        <v>613</v>
      </c>
      <c r="H296" t="s">
        <v>618</v>
      </c>
    </row>
    <row r="297" spans="1:8" x14ac:dyDescent="0.25">
      <c r="A297" t="s">
        <v>1590</v>
      </c>
      <c r="B297" t="s">
        <v>1591</v>
      </c>
      <c r="C297" t="s">
        <v>700</v>
      </c>
      <c r="D297" t="s">
        <v>1592</v>
      </c>
      <c r="E297" t="s">
        <v>1593</v>
      </c>
      <c r="F297" t="s">
        <v>612</v>
      </c>
      <c r="G297" t="s">
        <v>613</v>
      </c>
      <c r="H297" t="s">
        <v>618</v>
      </c>
    </row>
    <row r="298" spans="1:8" x14ac:dyDescent="0.25">
      <c r="A298" t="s">
        <v>1594</v>
      </c>
      <c r="B298" t="s">
        <v>1595</v>
      </c>
      <c r="C298" t="s">
        <v>768</v>
      </c>
      <c r="D298" t="s">
        <v>769</v>
      </c>
      <c r="E298" t="s">
        <v>1596</v>
      </c>
      <c r="F298" t="s">
        <v>612</v>
      </c>
      <c r="G298" t="s">
        <v>613</v>
      </c>
      <c r="H298" t="s">
        <v>655</v>
      </c>
    </row>
    <row r="299" spans="1:8" x14ac:dyDescent="0.25">
      <c r="A299" t="s">
        <v>1597</v>
      </c>
      <c r="B299" t="s">
        <v>1598</v>
      </c>
      <c r="C299" t="s">
        <v>102</v>
      </c>
      <c r="D299" t="s">
        <v>1599</v>
      </c>
      <c r="E299" t="s">
        <v>1600</v>
      </c>
      <c r="F299" t="s">
        <v>612</v>
      </c>
      <c r="G299" t="s">
        <v>613</v>
      </c>
      <c r="H299" t="s">
        <v>655</v>
      </c>
    </row>
    <row r="300" spans="1:8" x14ac:dyDescent="0.25">
      <c r="A300" t="s">
        <v>1601</v>
      </c>
      <c r="B300" t="s">
        <v>1602</v>
      </c>
      <c r="C300" t="s">
        <v>1603</v>
      </c>
      <c r="D300" t="s">
        <v>1604</v>
      </c>
      <c r="E300" t="s">
        <v>1605</v>
      </c>
      <c r="F300" t="s">
        <v>612</v>
      </c>
      <c r="G300" t="s">
        <v>613</v>
      </c>
      <c r="H300" t="s">
        <v>618</v>
      </c>
    </row>
    <row r="301" spans="1:8" x14ac:dyDescent="0.25">
      <c r="A301" t="s">
        <v>383</v>
      </c>
      <c r="B301" t="s">
        <v>1606</v>
      </c>
      <c r="C301" t="s">
        <v>744</v>
      </c>
      <c r="D301" t="s">
        <v>728</v>
      </c>
      <c r="F301" t="s">
        <v>612</v>
      </c>
      <c r="G301" t="s">
        <v>613</v>
      </c>
      <c r="H301" t="s">
        <v>618</v>
      </c>
    </row>
    <row r="302" spans="1:8" x14ac:dyDescent="0.25">
      <c r="A302" t="s">
        <v>1607</v>
      </c>
      <c r="B302" t="s">
        <v>1608</v>
      </c>
      <c r="C302" t="s">
        <v>768</v>
      </c>
      <c r="D302" t="s">
        <v>769</v>
      </c>
      <c r="E302" t="s">
        <v>1609</v>
      </c>
      <c r="F302" t="s">
        <v>612</v>
      </c>
      <c r="G302" t="s">
        <v>613</v>
      </c>
      <c r="H302" t="s">
        <v>655</v>
      </c>
    </row>
    <row r="303" spans="1:8" x14ac:dyDescent="0.25">
      <c r="A303" t="s">
        <v>1610</v>
      </c>
      <c r="B303" t="s">
        <v>1611</v>
      </c>
      <c r="C303" t="s">
        <v>749</v>
      </c>
      <c r="D303" t="s">
        <v>1612</v>
      </c>
      <c r="E303" t="s">
        <v>1613</v>
      </c>
      <c r="F303" t="s">
        <v>612</v>
      </c>
      <c r="G303" t="s">
        <v>613</v>
      </c>
      <c r="H303" t="s">
        <v>618</v>
      </c>
    </row>
    <row r="304" spans="1:8" x14ac:dyDescent="0.25">
      <c r="A304" t="s">
        <v>496</v>
      </c>
      <c r="B304" t="s">
        <v>1614</v>
      </c>
      <c r="C304" t="s">
        <v>700</v>
      </c>
      <c r="D304" t="s">
        <v>1615</v>
      </c>
      <c r="E304" t="s">
        <v>1616</v>
      </c>
      <c r="F304" t="s">
        <v>612</v>
      </c>
      <c r="G304" t="s">
        <v>613</v>
      </c>
      <c r="H304" t="s">
        <v>618</v>
      </c>
    </row>
    <row r="305" spans="1:8" x14ac:dyDescent="0.25">
      <c r="A305" t="s">
        <v>60</v>
      </c>
      <c r="B305" t="s">
        <v>1617</v>
      </c>
      <c r="C305" t="s">
        <v>840</v>
      </c>
      <c r="D305" t="s">
        <v>1084</v>
      </c>
      <c r="E305" t="s">
        <v>1618</v>
      </c>
      <c r="F305" t="s">
        <v>612</v>
      </c>
      <c r="G305" t="s">
        <v>613</v>
      </c>
      <c r="H305" t="s">
        <v>618</v>
      </c>
    </row>
    <row r="306" spans="1:8" x14ac:dyDescent="0.25">
      <c r="A306" t="s">
        <v>198</v>
      </c>
      <c r="B306" t="s">
        <v>1619</v>
      </c>
      <c r="C306" t="s">
        <v>1033</v>
      </c>
      <c r="D306" t="s">
        <v>1620</v>
      </c>
      <c r="E306" t="s">
        <v>1621</v>
      </c>
      <c r="F306" t="s">
        <v>612</v>
      </c>
      <c r="G306" t="s">
        <v>613</v>
      </c>
      <c r="H306" t="s">
        <v>655</v>
      </c>
    </row>
    <row r="307" spans="1:8" x14ac:dyDescent="0.25">
      <c r="A307" t="s">
        <v>1622</v>
      </c>
      <c r="B307" t="s">
        <v>1623</v>
      </c>
      <c r="C307" t="s">
        <v>1368</v>
      </c>
      <c r="D307" t="s">
        <v>1624</v>
      </c>
      <c r="E307" t="s">
        <v>1625</v>
      </c>
      <c r="F307" t="s">
        <v>612</v>
      </c>
      <c r="G307" t="s">
        <v>613</v>
      </c>
      <c r="H307" t="s">
        <v>655</v>
      </c>
    </row>
    <row r="308" spans="1:8" x14ac:dyDescent="0.25">
      <c r="A308" t="s">
        <v>1626</v>
      </c>
      <c r="B308" t="s">
        <v>1627</v>
      </c>
      <c r="C308" t="s">
        <v>640</v>
      </c>
      <c r="D308" t="s">
        <v>1628</v>
      </c>
      <c r="F308" t="s">
        <v>612</v>
      </c>
      <c r="G308" t="s">
        <v>613</v>
      </c>
      <c r="H308" t="s">
        <v>618</v>
      </c>
    </row>
    <row r="309" spans="1:8" x14ac:dyDescent="0.25">
      <c r="A309" t="s">
        <v>218</v>
      </c>
      <c r="B309" t="s">
        <v>1629</v>
      </c>
      <c r="C309" t="s">
        <v>768</v>
      </c>
      <c r="D309" t="s">
        <v>769</v>
      </c>
      <c r="E309" t="s">
        <v>1630</v>
      </c>
      <c r="F309" t="s">
        <v>612</v>
      </c>
      <c r="G309" t="s">
        <v>613</v>
      </c>
      <c r="H309" t="s">
        <v>655</v>
      </c>
    </row>
    <row r="310" spans="1:8" x14ac:dyDescent="0.25">
      <c r="A310" t="s">
        <v>1631</v>
      </c>
      <c r="B310" t="s">
        <v>1632</v>
      </c>
      <c r="C310" t="s">
        <v>1434</v>
      </c>
      <c r="D310" t="s">
        <v>1633</v>
      </c>
      <c r="E310" t="s">
        <v>1634</v>
      </c>
      <c r="F310" t="s">
        <v>612</v>
      </c>
      <c r="G310" t="s">
        <v>613</v>
      </c>
      <c r="H310" t="s">
        <v>648</v>
      </c>
    </row>
    <row r="311" spans="1:8" x14ac:dyDescent="0.25">
      <c r="A311" t="s">
        <v>563</v>
      </c>
      <c r="B311" t="s">
        <v>1635</v>
      </c>
      <c r="C311" t="s">
        <v>640</v>
      </c>
      <c r="D311" t="s">
        <v>1636</v>
      </c>
      <c r="F311" t="s">
        <v>612</v>
      </c>
      <c r="G311" t="s">
        <v>613</v>
      </c>
      <c r="H311" t="s">
        <v>618</v>
      </c>
    </row>
    <row r="312" spans="1:8" x14ac:dyDescent="0.25">
      <c r="A312" t="s">
        <v>543</v>
      </c>
      <c r="B312" t="s">
        <v>1637</v>
      </c>
      <c r="C312" t="s">
        <v>1638</v>
      </c>
      <c r="D312" t="s">
        <v>1639</v>
      </c>
      <c r="E312" t="s">
        <v>1640</v>
      </c>
      <c r="F312" t="s">
        <v>612</v>
      </c>
      <c r="G312" t="s">
        <v>613</v>
      </c>
      <c r="H312" t="s">
        <v>618</v>
      </c>
    </row>
    <row r="313" spans="1:8" x14ac:dyDescent="0.25">
      <c r="A313" t="s">
        <v>1641</v>
      </c>
      <c r="B313" t="s">
        <v>1642</v>
      </c>
      <c r="C313" t="s">
        <v>1643</v>
      </c>
      <c r="D313" t="s">
        <v>1644</v>
      </c>
      <c r="E313" t="s">
        <v>1645</v>
      </c>
      <c r="F313" t="s">
        <v>612</v>
      </c>
      <c r="G313" t="s">
        <v>613</v>
      </c>
      <c r="H313" t="s">
        <v>892</v>
      </c>
    </row>
    <row r="314" spans="1:8" x14ac:dyDescent="0.25">
      <c r="A314" t="s">
        <v>37</v>
      </c>
      <c r="B314" t="s">
        <v>1646</v>
      </c>
      <c r="C314" t="s">
        <v>814</v>
      </c>
      <c r="D314" t="s">
        <v>1647</v>
      </c>
      <c r="E314" t="s">
        <v>1648</v>
      </c>
      <c r="F314" t="s">
        <v>612</v>
      </c>
      <c r="G314" t="s">
        <v>613</v>
      </c>
      <c r="H314" t="s">
        <v>618</v>
      </c>
    </row>
    <row r="315" spans="1:8" x14ac:dyDescent="0.25">
      <c r="A315" t="s">
        <v>485</v>
      </c>
      <c r="B315" t="s">
        <v>1649</v>
      </c>
      <c r="C315" t="s">
        <v>876</v>
      </c>
      <c r="D315" t="s">
        <v>1257</v>
      </c>
      <c r="E315" t="s">
        <v>1650</v>
      </c>
      <c r="F315" t="s">
        <v>612</v>
      </c>
      <c r="G315" t="s">
        <v>613</v>
      </c>
      <c r="H315" t="s">
        <v>618</v>
      </c>
    </row>
    <row r="316" spans="1:8" x14ac:dyDescent="0.25">
      <c r="A316" t="s">
        <v>1651</v>
      </c>
      <c r="B316" t="s">
        <v>1652</v>
      </c>
      <c r="C316" t="s">
        <v>67</v>
      </c>
      <c r="D316" t="s">
        <v>1653</v>
      </c>
      <c r="E316" t="s">
        <v>1654</v>
      </c>
      <c r="F316" t="s">
        <v>612</v>
      </c>
      <c r="G316" t="s">
        <v>613</v>
      </c>
      <c r="H316" t="s">
        <v>655</v>
      </c>
    </row>
    <row r="317" spans="1:8" x14ac:dyDescent="0.25">
      <c r="A317" t="s">
        <v>256</v>
      </c>
      <c r="B317" t="s">
        <v>1655</v>
      </c>
      <c r="C317" t="s">
        <v>1656</v>
      </c>
      <c r="D317" t="s">
        <v>1657</v>
      </c>
      <c r="E317" t="s">
        <v>1658</v>
      </c>
      <c r="F317" t="s">
        <v>612</v>
      </c>
      <c r="G317" t="s">
        <v>613</v>
      </c>
      <c r="H317" t="s">
        <v>634</v>
      </c>
    </row>
    <row r="318" spans="1:8" x14ac:dyDescent="0.25">
      <c r="A318" t="s">
        <v>1659</v>
      </c>
      <c r="B318" t="s">
        <v>1660</v>
      </c>
      <c r="C318" t="s">
        <v>749</v>
      </c>
      <c r="D318" t="s">
        <v>850</v>
      </c>
      <c r="E318" t="s">
        <v>1661</v>
      </c>
      <c r="F318" t="s">
        <v>612</v>
      </c>
      <c r="G318" t="s">
        <v>613</v>
      </c>
    </row>
    <row r="319" spans="1:8" x14ac:dyDescent="0.25">
      <c r="A319" t="s">
        <v>1662</v>
      </c>
      <c r="B319" t="s">
        <v>1663</v>
      </c>
      <c r="C319" t="s">
        <v>744</v>
      </c>
      <c r="D319" t="s">
        <v>756</v>
      </c>
      <c r="F319" t="s">
        <v>612</v>
      </c>
      <c r="G319" t="s">
        <v>613</v>
      </c>
      <c r="H319" t="s">
        <v>618</v>
      </c>
    </row>
    <row r="320" spans="1:8" x14ac:dyDescent="0.25">
      <c r="A320" t="s">
        <v>1664</v>
      </c>
      <c r="B320" t="s">
        <v>1665</v>
      </c>
      <c r="C320" t="s">
        <v>1666</v>
      </c>
      <c r="D320" t="s">
        <v>791</v>
      </c>
      <c r="E320" t="s">
        <v>1667</v>
      </c>
      <c r="F320" t="s">
        <v>612</v>
      </c>
      <c r="G320" t="s">
        <v>613</v>
      </c>
      <c r="H320" t="s">
        <v>648</v>
      </c>
    </row>
    <row r="321" spans="1:8" x14ac:dyDescent="0.25">
      <c r="A321" t="s">
        <v>51</v>
      </c>
      <c r="B321" t="s">
        <v>1668</v>
      </c>
      <c r="C321" t="s">
        <v>744</v>
      </c>
      <c r="D321" t="s">
        <v>1669</v>
      </c>
      <c r="E321" t="s">
        <v>1670</v>
      </c>
      <c r="F321" t="s">
        <v>612</v>
      </c>
      <c r="G321" t="s">
        <v>613</v>
      </c>
      <c r="H321" t="s">
        <v>618</v>
      </c>
    </row>
    <row r="322" spans="1:8" x14ac:dyDescent="0.25">
      <c r="A322" t="s">
        <v>1671</v>
      </c>
      <c r="B322" t="s">
        <v>1672</v>
      </c>
      <c r="C322" t="s">
        <v>67</v>
      </c>
      <c r="D322" t="s">
        <v>1123</v>
      </c>
      <c r="E322" t="s">
        <v>1673</v>
      </c>
      <c r="F322" t="s">
        <v>612</v>
      </c>
      <c r="G322" t="s">
        <v>613</v>
      </c>
      <c r="H322" t="s">
        <v>655</v>
      </c>
    </row>
    <row r="323" spans="1:8" x14ac:dyDescent="0.25">
      <c r="A323" t="s">
        <v>236</v>
      </c>
      <c r="B323" t="s">
        <v>1674</v>
      </c>
      <c r="C323" t="s">
        <v>86</v>
      </c>
      <c r="D323" t="s">
        <v>1675</v>
      </c>
      <c r="E323" t="s">
        <v>1676</v>
      </c>
      <c r="F323" t="s">
        <v>612</v>
      </c>
      <c r="G323" t="s">
        <v>613</v>
      </c>
      <c r="H323" t="s">
        <v>634</v>
      </c>
    </row>
    <row r="324" spans="1:8" x14ac:dyDescent="0.25">
      <c r="A324" t="s">
        <v>516</v>
      </c>
      <c r="B324" t="s">
        <v>1677</v>
      </c>
      <c r="C324" t="s">
        <v>621</v>
      </c>
      <c r="D324" t="s">
        <v>1678</v>
      </c>
      <c r="E324" t="s">
        <v>1679</v>
      </c>
      <c r="F324" t="s">
        <v>612</v>
      </c>
      <c r="G324" t="s">
        <v>613</v>
      </c>
      <c r="H324" t="s">
        <v>618</v>
      </c>
    </row>
    <row r="325" spans="1:8" x14ac:dyDescent="0.25">
      <c r="A325" t="s">
        <v>1680</v>
      </c>
      <c r="B325" t="s">
        <v>1681</v>
      </c>
      <c r="C325" t="s">
        <v>1235</v>
      </c>
      <c r="D325" t="s">
        <v>977</v>
      </c>
      <c r="E325" t="s">
        <v>1682</v>
      </c>
      <c r="F325" t="s">
        <v>612</v>
      </c>
      <c r="G325" t="s">
        <v>613</v>
      </c>
      <c r="H325" t="s">
        <v>618</v>
      </c>
    </row>
    <row r="326" spans="1:8" x14ac:dyDescent="0.25">
      <c r="A326" t="s">
        <v>1683</v>
      </c>
      <c r="B326" t="s">
        <v>1684</v>
      </c>
      <c r="E326" t="s">
        <v>1685</v>
      </c>
      <c r="F326" t="s">
        <v>612</v>
      </c>
      <c r="G326" t="s">
        <v>613</v>
      </c>
      <c r="H326" t="s">
        <v>618</v>
      </c>
    </row>
    <row r="327" spans="1:8" x14ac:dyDescent="0.25">
      <c r="A327" t="s">
        <v>1686</v>
      </c>
      <c r="B327" t="s">
        <v>1687</v>
      </c>
      <c r="C327" t="s">
        <v>86</v>
      </c>
      <c r="D327" t="s">
        <v>1688</v>
      </c>
      <c r="E327" t="s">
        <v>1689</v>
      </c>
      <c r="F327" t="s">
        <v>612</v>
      </c>
      <c r="G327" t="s">
        <v>613</v>
      </c>
      <c r="H327" t="s">
        <v>634</v>
      </c>
    </row>
    <row r="328" spans="1:8" x14ac:dyDescent="0.25">
      <c r="A328" t="s">
        <v>438</v>
      </c>
      <c r="B328" t="s">
        <v>1690</v>
      </c>
      <c r="C328" t="s">
        <v>744</v>
      </c>
      <c r="D328" t="s">
        <v>1691</v>
      </c>
      <c r="E328" t="s">
        <v>1692</v>
      </c>
      <c r="F328" t="s">
        <v>612</v>
      </c>
      <c r="G328" t="s">
        <v>613</v>
      </c>
      <c r="H328" t="s">
        <v>618</v>
      </c>
    </row>
    <row r="329" spans="1:8" x14ac:dyDescent="0.25">
      <c r="A329" t="s">
        <v>1693</v>
      </c>
      <c r="B329" t="s">
        <v>1694</v>
      </c>
      <c r="C329" t="s">
        <v>700</v>
      </c>
      <c r="D329" t="s">
        <v>1428</v>
      </c>
      <c r="F329" t="s">
        <v>612</v>
      </c>
      <c r="G329" t="s">
        <v>613</v>
      </c>
      <c r="H329" t="s">
        <v>618</v>
      </c>
    </row>
    <row r="330" spans="1:8" x14ac:dyDescent="0.25">
      <c r="A330" t="s">
        <v>1695</v>
      </c>
      <c r="B330" t="s">
        <v>1696</v>
      </c>
      <c r="C330" t="s">
        <v>744</v>
      </c>
      <c r="D330" t="s">
        <v>1697</v>
      </c>
      <c r="E330" t="s">
        <v>1698</v>
      </c>
      <c r="F330" t="s">
        <v>612</v>
      </c>
      <c r="G330" t="s">
        <v>613</v>
      </c>
      <c r="H330" t="s">
        <v>1193</v>
      </c>
    </row>
    <row r="331" spans="1:8" x14ac:dyDescent="0.25">
      <c r="A331" t="s">
        <v>567</v>
      </c>
      <c r="B331" t="s">
        <v>1699</v>
      </c>
      <c r="C331" t="s">
        <v>1235</v>
      </c>
      <c r="D331" t="s">
        <v>977</v>
      </c>
      <c r="E331" t="s">
        <v>1700</v>
      </c>
      <c r="F331" t="s">
        <v>612</v>
      </c>
      <c r="G331" t="s">
        <v>613</v>
      </c>
      <c r="H331" t="s">
        <v>618</v>
      </c>
    </row>
    <row r="332" spans="1:8" x14ac:dyDescent="0.25">
      <c r="A332" t="s">
        <v>1701</v>
      </c>
      <c r="B332" t="s">
        <v>1702</v>
      </c>
      <c r="C332" t="s">
        <v>752</v>
      </c>
      <c r="D332" t="s">
        <v>1703</v>
      </c>
      <c r="F332" t="s">
        <v>612</v>
      </c>
      <c r="G332" t="s">
        <v>613</v>
      </c>
      <c r="H332" t="s">
        <v>618</v>
      </c>
    </row>
    <row r="333" spans="1:8" x14ac:dyDescent="0.25">
      <c r="A333" t="s">
        <v>440</v>
      </c>
      <c r="B333" t="s">
        <v>1704</v>
      </c>
      <c r="C333" t="s">
        <v>640</v>
      </c>
      <c r="D333" t="s">
        <v>734</v>
      </c>
      <c r="F333" t="s">
        <v>612</v>
      </c>
      <c r="G333" t="s">
        <v>613</v>
      </c>
      <c r="H333" t="s">
        <v>618</v>
      </c>
    </row>
    <row r="334" spans="1:8" x14ac:dyDescent="0.25">
      <c r="A334" t="s">
        <v>292</v>
      </c>
      <c r="B334" t="s">
        <v>1705</v>
      </c>
      <c r="C334" t="s">
        <v>768</v>
      </c>
      <c r="D334" t="s">
        <v>769</v>
      </c>
      <c r="E334" t="s">
        <v>1706</v>
      </c>
      <c r="F334" t="s">
        <v>612</v>
      </c>
      <c r="G334" t="s">
        <v>613</v>
      </c>
      <c r="H334" t="s">
        <v>655</v>
      </c>
    </row>
    <row r="335" spans="1:8" x14ac:dyDescent="0.25">
      <c r="A335" t="s">
        <v>1707</v>
      </c>
      <c r="B335" t="s">
        <v>1708</v>
      </c>
      <c r="C335" t="s">
        <v>1431</v>
      </c>
      <c r="D335" t="s">
        <v>1709</v>
      </c>
      <c r="E335" t="s">
        <v>1710</v>
      </c>
      <c r="F335" t="s">
        <v>612</v>
      </c>
      <c r="G335" t="s">
        <v>613</v>
      </c>
      <c r="H335" t="s">
        <v>681</v>
      </c>
    </row>
    <row r="336" spans="1:8" x14ac:dyDescent="0.25">
      <c r="A336" t="s">
        <v>1711</v>
      </c>
      <c r="B336" t="s">
        <v>1712</v>
      </c>
      <c r="C336" t="s">
        <v>211</v>
      </c>
      <c r="D336" t="s">
        <v>1713</v>
      </c>
      <c r="E336" t="s">
        <v>1714</v>
      </c>
      <c r="F336" t="s">
        <v>612</v>
      </c>
      <c r="G336" t="s">
        <v>613</v>
      </c>
      <c r="H336" t="s">
        <v>634</v>
      </c>
    </row>
    <row r="337" spans="1:8" x14ac:dyDescent="0.25">
      <c r="A337" t="s">
        <v>1715</v>
      </c>
      <c r="B337" t="s">
        <v>1716</v>
      </c>
      <c r="C337" t="s">
        <v>716</v>
      </c>
      <c r="D337" t="s">
        <v>1717</v>
      </c>
      <c r="F337" t="s">
        <v>612</v>
      </c>
      <c r="G337" t="s">
        <v>613</v>
      </c>
      <c r="H337" t="s">
        <v>655</v>
      </c>
    </row>
    <row r="338" spans="1:8" x14ac:dyDescent="0.25">
      <c r="A338" t="s">
        <v>1718</v>
      </c>
      <c r="B338" t="s">
        <v>1719</v>
      </c>
      <c r="C338" t="s">
        <v>1190</v>
      </c>
      <c r="D338" t="s">
        <v>1720</v>
      </c>
      <c r="E338" t="s">
        <v>1721</v>
      </c>
      <c r="F338" t="s">
        <v>612</v>
      </c>
      <c r="G338" t="s">
        <v>613</v>
      </c>
      <c r="H338" t="s">
        <v>1193</v>
      </c>
    </row>
    <row r="339" spans="1:8" x14ac:dyDescent="0.25">
      <c r="A339" t="s">
        <v>466</v>
      </c>
      <c r="B339" t="s">
        <v>1722</v>
      </c>
      <c r="C339" t="s">
        <v>749</v>
      </c>
      <c r="D339" t="s">
        <v>1723</v>
      </c>
      <c r="E339" t="s">
        <v>1724</v>
      </c>
      <c r="F339" t="s">
        <v>612</v>
      </c>
      <c r="G339" t="s">
        <v>613</v>
      </c>
      <c r="H339" t="s">
        <v>618</v>
      </c>
    </row>
    <row r="340" spans="1:8" x14ac:dyDescent="0.25">
      <c r="A340" t="s">
        <v>1725</v>
      </c>
      <c r="B340" t="s">
        <v>1726</v>
      </c>
      <c r="C340" t="s">
        <v>1346</v>
      </c>
      <c r="D340" t="s">
        <v>1214</v>
      </c>
      <c r="F340" t="s">
        <v>612</v>
      </c>
      <c r="G340" t="s">
        <v>613</v>
      </c>
      <c r="H340" t="s">
        <v>618</v>
      </c>
    </row>
    <row r="341" spans="1:8" x14ac:dyDescent="0.25">
      <c r="A341" t="s">
        <v>1727</v>
      </c>
      <c r="B341" t="s">
        <v>1728</v>
      </c>
      <c r="C341" t="s">
        <v>653</v>
      </c>
      <c r="D341" t="s">
        <v>1500</v>
      </c>
      <c r="E341" t="s">
        <v>1729</v>
      </c>
      <c r="F341" t="s">
        <v>612</v>
      </c>
      <c r="G341" t="s">
        <v>613</v>
      </c>
      <c r="H341" t="s">
        <v>655</v>
      </c>
    </row>
    <row r="342" spans="1:8" x14ac:dyDescent="0.25">
      <c r="A342" t="s">
        <v>402</v>
      </c>
      <c r="B342" t="s">
        <v>1730</v>
      </c>
      <c r="C342" t="s">
        <v>703</v>
      </c>
      <c r="D342" t="s">
        <v>958</v>
      </c>
      <c r="E342" t="s">
        <v>1731</v>
      </c>
      <c r="F342" t="s">
        <v>612</v>
      </c>
      <c r="G342" t="s">
        <v>613</v>
      </c>
      <c r="H342" t="s">
        <v>618</v>
      </c>
    </row>
    <row r="343" spans="1:8" x14ac:dyDescent="0.25">
      <c r="A343" t="s">
        <v>403</v>
      </c>
      <c r="B343" t="s">
        <v>1732</v>
      </c>
      <c r="C343" t="s">
        <v>703</v>
      </c>
      <c r="D343" t="s">
        <v>641</v>
      </c>
      <c r="E343" t="s">
        <v>1733</v>
      </c>
      <c r="F343" t="s">
        <v>612</v>
      </c>
      <c r="G343" t="s">
        <v>613</v>
      </c>
      <c r="H343" t="s">
        <v>618</v>
      </c>
    </row>
    <row r="344" spans="1:8" x14ac:dyDescent="0.25">
      <c r="A344" t="s">
        <v>404</v>
      </c>
      <c r="B344" t="s">
        <v>1734</v>
      </c>
      <c r="C344" t="s">
        <v>211</v>
      </c>
      <c r="D344" t="s">
        <v>756</v>
      </c>
      <c r="F344" t="s">
        <v>612</v>
      </c>
      <c r="G344" t="s">
        <v>613</v>
      </c>
      <c r="H344" t="s">
        <v>634</v>
      </c>
    </row>
    <row r="345" spans="1:8" x14ac:dyDescent="0.25">
      <c r="A345" t="s">
        <v>399</v>
      </c>
      <c r="B345" t="s">
        <v>1735</v>
      </c>
      <c r="C345" t="s">
        <v>703</v>
      </c>
      <c r="D345" t="s">
        <v>958</v>
      </c>
      <c r="E345" t="s">
        <v>1736</v>
      </c>
      <c r="F345" t="s">
        <v>612</v>
      </c>
      <c r="G345" t="s">
        <v>613</v>
      </c>
      <c r="H345" t="s">
        <v>618</v>
      </c>
    </row>
    <row r="346" spans="1:8" x14ac:dyDescent="0.25">
      <c r="A346" t="s">
        <v>1737</v>
      </c>
      <c r="B346" t="s">
        <v>1738</v>
      </c>
      <c r="C346" t="s">
        <v>1467</v>
      </c>
      <c r="D346" t="s">
        <v>1217</v>
      </c>
      <c r="E346" t="s">
        <v>1739</v>
      </c>
      <c r="F346" t="s">
        <v>612</v>
      </c>
      <c r="G346" t="s">
        <v>613</v>
      </c>
      <c r="H346" t="s">
        <v>681</v>
      </c>
    </row>
    <row r="347" spans="1:8" x14ac:dyDescent="0.25">
      <c r="A347" t="s">
        <v>1740</v>
      </c>
      <c r="B347" t="s">
        <v>1741</v>
      </c>
      <c r="C347" t="s">
        <v>700</v>
      </c>
      <c r="D347" t="s">
        <v>1742</v>
      </c>
      <c r="E347" t="s">
        <v>1743</v>
      </c>
      <c r="F347" t="s">
        <v>612</v>
      </c>
      <c r="G347" t="s">
        <v>613</v>
      </c>
      <c r="H347" t="s">
        <v>618</v>
      </c>
    </row>
    <row r="348" spans="1:8" x14ac:dyDescent="0.25">
      <c r="A348" t="s">
        <v>1744</v>
      </c>
      <c r="B348" t="s">
        <v>1745</v>
      </c>
      <c r="C348" t="s">
        <v>1102</v>
      </c>
      <c r="D348" t="s">
        <v>823</v>
      </c>
      <c r="E348" t="s">
        <v>1746</v>
      </c>
      <c r="F348" t="s">
        <v>612</v>
      </c>
      <c r="G348" t="s">
        <v>613</v>
      </c>
      <c r="H348" t="s">
        <v>648</v>
      </c>
    </row>
    <row r="349" spans="1:8" x14ac:dyDescent="0.25">
      <c r="A349" t="s">
        <v>1747</v>
      </c>
      <c r="B349" t="s">
        <v>1748</v>
      </c>
      <c r="C349" t="s">
        <v>1102</v>
      </c>
      <c r="D349" t="s">
        <v>1749</v>
      </c>
      <c r="E349" t="s">
        <v>1750</v>
      </c>
      <c r="F349" t="s">
        <v>612</v>
      </c>
      <c r="G349" t="s">
        <v>613</v>
      </c>
      <c r="H349" t="s">
        <v>648</v>
      </c>
    </row>
    <row r="350" spans="1:8" x14ac:dyDescent="0.25">
      <c r="A350" t="s">
        <v>1751</v>
      </c>
      <c r="B350" t="s">
        <v>1752</v>
      </c>
      <c r="C350" t="s">
        <v>1753</v>
      </c>
      <c r="D350" t="s">
        <v>1754</v>
      </c>
      <c r="F350" t="s">
        <v>612</v>
      </c>
      <c r="G350" t="s">
        <v>613</v>
      </c>
      <c r="H350" t="s">
        <v>655</v>
      </c>
    </row>
    <row r="351" spans="1:8" x14ac:dyDescent="0.25">
      <c r="A351" t="s">
        <v>212</v>
      </c>
      <c r="B351" t="s">
        <v>1755</v>
      </c>
      <c r="C351" t="s">
        <v>211</v>
      </c>
      <c r="D351" t="s">
        <v>1756</v>
      </c>
      <c r="E351" t="s">
        <v>1757</v>
      </c>
      <c r="F351" t="s">
        <v>612</v>
      </c>
      <c r="G351" t="s">
        <v>613</v>
      </c>
      <c r="H351" t="s">
        <v>634</v>
      </c>
    </row>
    <row r="352" spans="1:8" x14ac:dyDescent="0.25">
      <c r="A352" t="s">
        <v>33</v>
      </c>
      <c r="B352" t="s">
        <v>1758</v>
      </c>
      <c r="C352" t="s">
        <v>616</v>
      </c>
      <c r="D352" t="s">
        <v>1759</v>
      </c>
      <c r="E352" t="s">
        <v>1760</v>
      </c>
      <c r="F352" t="s">
        <v>612</v>
      </c>
      <c r="G352" t="s">
        <v>613</v>
      </c>
      <c r="H352" t="s">
        <v>618</v>
      </c>
    </row>
    <row r="353" spans="1:8" x14ac:dyDescent="0.25">
      <c r="A353" t="s">
        <v>494</v>
      </c>
      <c r="B353" t="s">
        <v>1761</v>
      </c>
      <c r="C353" t="s">
        <v>700</v>
      </c>
      <c r="D353" t="s">
        <v>1762</v>
      </c>
      <c r="F353" t="s">
        <v>612</v>
      </c>
      <c r="G353" t="s">
        <v>613</v>
      </c>
      <c r="H353" t="s">
        <v>618</v>
      </c>
    </row>
    <row r="354" spans="1:8" x14ac:dyDescent="0.25">
      <c r="A354" t="s">
        <v>1763</v>
      </c>
      <c r="B354" t="s">
        <v>1764</v>
      </c>
      <c r="C354" t="s">
        <v>1431</v>
      </c>
      <c r="D354" t="s">
        <v>1084</v>
      </c>
      <c r="E354" t="s">
        <v>1765</v>
      </c>
      <c r="F354" t="s">
        <v>612</v>
      </c>
      <c r="G354" t="s">
        <v>613</v>
      </c>
      <c r="H354" t="s">
        <v>681</v>
      </c>
    </row>
    <row r="355" spans="1:8" x14ac:dyDescent="0.25">
      <c r="A355" t="s">
        <v>1766</v>
      </c>
      <c r="B355" t="s">
        <v>1767</v>
      </c>
      <c r="C355" t="s">
        <v>1768</v>
      </c>
      <c r="D355" t="s">
        <v>1769</v>
      </c>
      <c r="E355" t="s">
        <v>1770</v>
      </c>
      <c r="F355" t="s">
        <v>612</v>
      </c>
      <c r="G355" t="s">
        <v>613</v>
      </c>
      <c r="H355" t="s">
        <v>655</v>
      </c>
    </row>
    <row r="356" spans="1:8" x14ac:dyDescent="0.25">
      <c r="A356" t="s">
        <v>1771</v>
      </c>
      <c r="B356" t="s">
        <v>1772</v>
      </c>
      <c r="C356" t="s">
        <v>749</v>
      </c>
      <c r="D356" t="s">
        <v>1773</v>
      </c>
      <c r="F356" t="s">
        <v>612</v>
      </c>
      <c r="G356" t="s">
        <v>613</v>
      </c>
      <c r="H356" t="s">
        <v>618</v>
      </c>
    </row>
    <row r="357" spans="1:8" x14ac:dyDescent="0.25">
      <c r="A357" t="s">
        <v>340</v>
      </c>
      <c r="B357" t="s">
        <v>1774</v>
      </c>
      <c r="C357" t="s">
        <v>768</v>
      </c>
      <c r="D357" t="s">
        <v>1775</v>
      </c>
      <c r="F357" t="s">
        <v>612</v>
      </c>
      <c r="G357" t="s">
        <v>613</v>
      </c>
      <c r="H357" t="s">
        <v>655</v>
      </c>
    </row>
    <row r="358" spans="1:8" x14ac:dyDescent="0.25">
      <c r="A358" t="s">
        <v>478</v>
      </c>
      <c r="B358" t="s">
        <v>1776</v>
      </c>
      <c r="C358" t="s">
        <v>640</v>
      </c>
      <c r="D358" t="s">
        <v>1777</v>
      </c>
      <c r="F358" t="s">
        <v>612</v>
      </c>
      <c r="G358" t="s">
        <v>613</v>
      </c>
      <c r="H358" t="s">
        <v>618</v>
      </c>
    </row>
    <row r="359" spans="1:8" x14ac:dyDescent="0.25">
      <c r="A359" t="s">
        <v>172</v>
      </c>
      <c r="B359" t="s">
        <v>1778</v>
      </c>
      <c r="C359" t="s">
        <v>173</v>
      </c>
      <c r="D359" t="s">
        <v>1779</v>
      </c>
      <c r="E359" t="s">
        <v>1780</v>
      </c>
      <c r="F359" t="s">
        <v>612</v>
      </c>
      <c r="G359" t="s">
        <v>613</v>
      </c>
      <c r="H359" t="s">
        <v>628</v>
      </c>
    </row>
    <row r="360" spans="1:8" x14ac:dyDescent="0.25">
      <c r="A360" t="s">
        <v>1781</v>
      </c>
      <c r="B360" t="s">
        <v>1782</v>
      </c>
      <c r="C360" t="s">
        <v>700</v>
      </c>
      <c r="D360" t="s">
        <v>1783</v>
      </c>
      <c r="F360" t="s">
        <v>612</v>
      </c>
      <c r="G360" t="s">
        <v>613</v>
      </c>
      <c r="H360" t="s">
        <v>618</v>
      </c>
    </row>
    <row r="361" spans="1:8" x14ac:dyDescent="0.25">
      <c r="A361" t="s">
        <v>284</v>
      </c>
      <c r="B361" t="s">
        <v>1784</v>
      </c>
      <c r="C361" t="s">
        <v>1785</v>
      </c>
      <c r="D361" t="s">
        <v>1786</v>
      </c>
      <c r="E361" t="s">
        <v>1787</v>
      </c>
      <c r="F361" t="s">
        <v>612</v>
      </c>
      <c r="G361" t="s">
        <v>613</v>
      </c>
      <c r="H361" t="s">
        <v>655</v>
      </c>
    </row>
    <row r="362" spans="1:8" x14ac:dyDescent="0.25">
      <c r="A362" t="s">
        <v>1788</v>
      </c>
      <c r="B362" t="s">
        <v>1789</v>
      </c>
      <c r="C362" t="s">
        <v>1368</v>
      </c>
      <c r="D362" t="s">
        <v>1063</v>
      </c>
      <c r="F362" t="s">
        <v>612</v>
      </c>
      <c r="G362" t="s">
        <v>613</v>
      </c>
      <c r="H362" t="s">
        <v>655</v>
      </c>
    </row>
    <row r="363" spans="1:8" x14ac:dyDescent="0.25">
      <c r="A363" t="s">
        <v>1790</v>
      </c>
      <c r="B363" t="s">
        <v>1791</v>
      </c>
      <c r="C363" t="s">
        <v>1368</v>
      </c>
      <c r="D363" t="s">
        <v>1792</v>
      </c>
      <c r="F363" t="s">
        <v>612</v>
      </c>
      <c r="G363" t="s">
        <v>613</v>
      </c>
      <c r="H363" t="s">
        <v>655</v>
      </c>
    </row>
    <row r="364" spans="1:8" x14ac:dyDescent="0.25">
      <c r="A364" t="s">
        <v>1793</v>
      </c>
      <c r="B364" t="s">
        <v>1794</v>
      </c>
      <c r="C364" t="s">
        <v>168</v>
      </c>
      <c r="D364" t="s">
        <v>1795</v>
      </c>
      <c r="E364" t="s">
        <v>1796</v>
      </c>
      <c r="F364" t="s">
        <v>612</v>
      </c>
      <c r="G364" t="s">
        <v>613</v>
      </c>
      <c r="H364" t="s">
        <v>655</v>
      </c>
    </row>
    <row r="365" spans="1:8" x14ac:dyDescent="0.25">
      <c r="A365" t="s">
        <v>35</v>
      </c>
      <c r="B365" t="s">
        <v>1797</v>
      </c>
      <c r="C365" t="s">
        <v>925</v>
      </c>
      <c r="D365" t="s">
        <v>1798</v>
      </c>
      <c r="E365" t="s">
        <v>1799</v>
      </c>
      <c r="F365" t="s">
        <v>612</v>
      </c>
      <c r="G365" t="s">
        <v>613</v>
      </c>
      <c r="H365" t="s">
        <v>618</v>
      </c>
    </row>
    <row r="366" spans="1:8" x14ac:dyDescent="0.25">
      <c r="A366" t="s">
        <v>1800</v>
      </c>
      <c r="B366" t="s">
        <v>1801</v>
      </c>
      <c r="C366" t="s">
        <v>768</v>
      </c>
      <c r="D366" t="s">
        <v>769</v>
      </c>
      <c r="E366" t="s">
        <v>1802</v>
      </c>
      <c r="F366" t="s">
        <v>612</v>
      </c>
      <c r="G366" t="s">
        <v>613</v>
      </c>
      <c r="H366" t="s">
        <v>655</v>
      </c>
    </row>
    <row r="367" spans="1:8" x14ac:dyDescent="0.25">
      <c r="A367" t="s">
        <v>1803</v>
      </c>
      <c r="B367" t="s">
        <v>1804</v>
      </c>
      <c r="C367" t="s">
        <v>1805</v>
      </c>
      <c r="D367" t="s">
        <v>1524</v>
      </c>
      <c r="E367" t="s">
        <v>1806</v>
      </c>
      <c r="F367" t="s">
        <v>612</v>
      </c>
      <c r="G367" t="s">
        <v>613</v>
      </c>
      <c r="H367" t="s">
        <v>618</v>
      </c>
    </row>
    <row r="368" spans="1:8" x14ac:dyDescent="0.25">
      <c r="A368" t="s">
        <v>1807</v>
      </c>
      <c r="B368" t="s">
        <v>1808</v>
      </c>
      <c r="C368" t="s">
        <v>616</v>
      </c>
      <c r="D368" t="s">
        <v>1063</v>
      </c>
      <c r="F368" t="s">
        <v>612</v>
      </c>
      <c r="G368" t="s">
        <v>613</v>
      </c>
      <c r="H368" t="s">
        <v>618</v>
      </c>
    </row>
    <row r="369" spans="1:8" x14ac:dyDescent="0.25">
      <c r="A369" t="s">
        <v>1809</v>
      </c>
      <c r="B369" t="s">
        <v>1810</v>
      </c>
      <c r="C369" t="s">
        <v>775</v>
      </c>
      <c r="D369" t="s">
        <v>769</v>
      </c>
      <c r="E369" t="s">
        <v>1811</v>
      </c>
      <c r="F369" t="s">
        <v>612</v>
      </c>
      <c r="G369" t="s">
        <v>613</v>
      </c>
      <c r="H369" t="s">
        <v>655</v>
      </c>
    </row>
    <row r="370" spans="1:8" x14ac:dyDescent="0.25">
      <c r="A370" t="s">
        <v>1812</v>
      </c>
      <c r="B370" t="s">
        <v>1813</v>
      </c>
      <c r="E370" t="s">
        <v>1814</v>
      </c>
      <c r="F370" t="s">
        <v>612</v>
      </c>
      <c r="G370" t="s">
        <v>613</v>
      </c>
      <c r="H370" t="s">
        <v>655</v>
      </c>
    </row>
    <row r="371" spans="1:8" x14ac:dyDescent="0.25">
      <c r="A371" t="s">
        <v>424</v>
      </c>
      <c r="B371" t="s">
        <v>1815</v>
      </c>
      <c r="C371" t="s">
        <v>749</v>
      </c>
      <c r="D371" t="s">
        <v>1816</v>
      </c>
      <c r="E371" t="s">
        <v>1817</v>
      </c>
      <c r="F371" t="s">
        <v>612</v>
      </c>
      <c r="G371" t="s">
        <v>613</v>
      </c>
      <c r="H371" t="s">
        <v>618</v>
      </c>
    </row>
    <row r="372" spans="1:8" x14ac:dyDescent="0.25">
      <c r="A372" t="s">
        <v>1818</v>
      </c>
      <c r="B372" t="s">
        <v>1819</v>
      </c>
      <c r="C372" t="s">
        <v>1820</v>
      </c>
      <c r="D372" t="s">
        <v>1821</v>
      </c>
      <c r="E372" t="s">
        <v>1822</v>
      </c>
      <c r="F372" t="s">
        <v>612</v>
      </c>
      <c r="G372" t="s">
        <v>613</v>
      </c>
      <c r="H372" t="s">
        <v>648</v>
      </c>
    </row>
    <row r="373" spans="1:8" x14ac:dyDescent="0.25">
      <c r="A373" t="s">
        <v>1823</v>
      </c>
      <c r="B373" t="s">
        <v>1824</v>
      </c>
      <c r="C373" t="s">
        <v>749</v>
      </c>
      <c r="D373" t="s">
        <v>1825</v>
      </c>
      <c r="F373" t="s">
        <v>612</v>
      </c>
      <c r="G373" t="s">
        <v>613</v>
      </c>
      <c r="H373" t="s">
        <v>618</v>
      </c>
    </row>
    <row r="374" spans="1:8" x14ac:dyDescent="0.25">
      <c r="A374" t="s">
        <v>1826</v>
      </c>
      <c r="B374" t="s">
        <v>1827</v>
      </c>
      <c r="C374" t="s">
        <v>752</v>
      </c>
      <c r="D374" t="s">
        <v>1828</v>
      </c>
      <c r="E374" t="s">
        <v>1829</v>
      </c>
      <c r="F374" t="s">
        <v>612</v>
      </c>
      <c r="G374" t="s">
        <v>613</v>
      </c>
      <c r="H374" t="s">
        <v>618</v>
      </c>
    </row>
    <row r="375" spans="1:8" x14ac:dyDescent="0.25">
      <c r="A375" t="s">
        <v>1830</v>
      </c>
      <c r="B375" t="s">
        <v>1831</v>
      </c>
      <c r="C375" t="s">
        <v>173</v>
      </c>
      <c r="D375" t="s">
        <v>1832</v>
      </c>
      <c r="E375" t="s">
        <v>1833</v>
      </c>
      <c r="F375" t="s">
        <v>612</v>
      </c>
      <c r="G375" t="s">
        <v>613</v>
      </c>
      <c r="H375" t="s">
        <v>628</v>
      </c>
    </row>
    <row r="376" spans="1:8" x14ac:dyDescent="0.25">
      <c r="A376" t="s">
        <v>268</v>
      </c>
      <c r="B376" t="s">
        <v>1834</v>
      </c>
      <c r="C376" t="s">
        <v>1835</v>
      </c>
      <c r="D376" t="s">
        <v>977</v>
      </c>
      <c r="F376" t="s">
        <v>612</v>
      </c>
      <c r="G376" t="s">
        <v>613</v>
      </c>
      <c r="H376" t="s">
        <v>655</v>
      </c>
    </row>
    <row r="377" spans="1:8" x14ac:dyDescent="0.25">
      <c r="A377" t="s">
        <v>1836</v>
      </c>
      <c r="B377" t="s">
        <v>1837</v>
      </c>
      <c r="C377" t="s">
        <v>819</v>
      </c>
      <c r="D377" t="s">
        <v>1838</v>
      </c>
      <c r="E377" t="s">
        <v>1839</v>
      </c>
      <c r="F377" t="s">
        <v>612</v>
      </c>
      <c r="G377" t="s">
        <v>613</v>
      </c>
      <c r="H377" t="s">
        <v>655</v>
      </c>
    </row>
    <row r="378" spans="1:8" x14ac:dyDescent="0.25">
      <c r="A378" t="s">
        <v>1840</v>
      </c>
      <c r="B378" t="s">
        <v>1841</v>
      </c>
      <c r="C378" t="s">
        <v>768</v>
      </c>
      <c r="D378" t="s">
        <v>769</v>
      </c>
      <c r="E378" t="s">
        <v>1842</v>
      </c>
      <c r="F378" t="s">
        <v>612</v>
      </c>
      <c r="G378" t="s">
        <v>613</v>
      </c>
      <c r="H378" t="s">
        <v>655</v>
      </c>
    </row>
    <row r="379" spans="1:8" x14ac:dyDescent="0.25">
      <c r="A379" t="s">
        <v>1843</v>
      </c>
      <c r="B379" t="s">
        <v>1844</v>
      </c>
      <c r="C379" t="s">
        <v>1513</v>
      </c>
      <c r="D379" t="s">
        <v>1845</v>
      </c>
      <c r="E379" t="s">
        <v>1846</v>
      </c>
      <c r="F379" t="s">
        <v>612</v>
      </c>
      <c r="G379" t="s">
        <v>613</v>
      </c>
      <c r="H379" t="s">
        <v>892</v>
      </c>
    </row>
    <row r="380" spans="1:8" x14ac:dyDescent="0.25">
      <c r="A380" t="s">
        <v>1847</v>
      </c>
      <c r="B380" t="s">
        <v>1848</v>
      </c>
      <c r="C380" t="s">
        <v>1849</v>
      </c>
      <c r="D380" t="s">
        <v>1343</v>
      </c>
      <c r="F380" t="s">
        <v>612</v>
      </c>
      <c r="G380" t="s">
        <v>613</v>
      </c>
      <c r="H380" t="s">
        <v>655</v>
      </c>
    </row>
    <row r="381" spans="1:8" x14ac:dyDescent="0.25">
      <c r="A381" t="s">
        <v>25</v>
      </c>
      <c r="B381" t="s">
        <v>1850</v>
      </c>
      <c r="C381" t="s">
        <v>876</v>
      </c>
      <c r="D381" t="s">
        <v>877</v>
      </c>
      <c r="E381" t="s">
        <v>1851</v>
      </c>
      <c r="F381" t="s">
        <v>612</v>
      </c>
      <c r="G381" t="s">
        <v>613</v>
      </c>
      <c r="H381" t="s">
        <v>618</v>
      </c>
    </row>
    <row r="382" spans="1:8" x14ac:dyDescent="0.25">
      <c r="A382" t="s">
        <v>501</v>
      </c>
      <c r="B382" t="s">
        <v>1852</v>
      </c>
      <c r="C382" t="s">
        <v>1853</v>
      </c>
      <c r="D382" t="s">
        <v>1854</v>
      </c>
      <c r="E382" t="s">
        <v>1855</v>
      </c>
      <c r="F382" t="s">
        <v>612</v>
      </c>
      <c r="G382" t="s">
        <v>613</v>
      </c>
      <c r="H382" t="s">
        <v>618</v>
      </c>
    </row>
    <row r="383" spans="1:8" x14ac:dyDescent="0.25">
      <c r="A383" t="s">
        <v>1856</v>
      </c>
      <c r="B383" t="s">
        <v>1857</v>
      </c>
      <c r="C383" t="s">
        <v>700</v>
      </c>
      <c r="D383" t="s">
        <v>985</v>
      </c>
      <c r="E383" t="s">
        <v>1858</v>
      </c>
      <c r="F383" t="s">
        <v>612</v>
      </c>
      <c r="G383" t="s">
        <v>613</v>
      </c>
      <c r="H383" t="s">
        <v>618</v>
      </c>
    </row>
    <row r="384" spans="1:8" x14ac:dyDescent="0.25">
      <c r="A384" t="s">
        <v>81</v>
      </c>
      <c r="B384" t="s">
        <v>1859</v>
      </c>
      <c r="C384" t="s">
        <v>925</v>
      </c>
      <c r="D384" t="s">
        <v>1762</v>
      </c>
      <c r="E384" t="s">
        <v>1860</v>
      </c>
      <c r="F384" t="s">
        <v>612</v>
      </c>
      <c r="G384" t="s">
        <v>613</v>
      </c>
      <c r="H384" t="s">
        <v>618</v>
      </c>
    </row>
    <row r="385" spans="1:8" x14ac:dyDescent="0.25">
      <c r="A385" t="s">
        <v>52</v>
      </c>
      <c r="B385" t="s">
        <v>1861</v>
      </c>
      <c r="C385" t="s">
        <v>616</v>
      </c>
      <c r="D385" t="s">
        <v>1862</v>
      </c>
      <c r="E385" t="s">
        <v>1863</v>
      </c>
      <c r="F385" t="s">
        <v>612</v>
      </c>
      <c r="G385" t="s">
        <v>613</v>
      </c>
      <c r="H385" t="s">
        <v>618</v>
      </c>
    </row>
    <row r="386" spans="1:8" x14ac:dyDescent="0.25">
      <c r="A386" t="s">
        <v>514</v>
      </c>
      <c r="B386" t="s">
        <v>1864</v>
      </c>
      <c r="C386" t="s">
        <v>616</v>
      </c>
      <c r="D386" t="s">
        <v>1865</v>
      </c>
      <c r="F386" t="s">
        <v>612</v>
      </c>
      <c r="G386" t="s">
        <v>613</v>
      </c>
      <c r="H386" t="s">
        <v>618</v>
      </c>
    </row>
    <row r="387" spans="1:8" x14ac:dyDescent="0.25">
      <c r="A387" t="s">
        <v>123</v>
      </c>
      <c r="B387" t="s">
        <v>1866</v>
      </c>
      <c r="C387" t="s">
        <v>86</v>
      </c>
      <c r="D387" t="s">
        <v>1867</v>
      </c>
      <c r="F387" t="s">
        <v>612</v>
      </c>
      <c r="G387" t="s">
        <v>613</v>
      </c>
      <c r="H387" t="s">
        <v>634</v>
      </c>
    </row>
    <row r="388" spans="1:8" x14ac:dyDescent="0.25">
      <c r="A388" t="s">
        <v>1868</v>
      </c>
      <c r="B388" t="s">
        <v>1869</v>
      </c>
      <c r="C388" t="s">
        <v>752</v>
      </c>
      <c r="D388" t="s">
        <v>1870</v>
      </c>
      <c r="E388" t="s">
        <v>1871</v>
      </c>
      <c r="F388" t="s">
        <v>612</v>
      </c>
      <c r="G388" t="s">
        <v>613</v>
      </c>
      <c r="H388" t="s">
        <v>618</v>
      </c>
    </row>
    <row r="389" spans="1:8" x14ac:dyDescent="0.25">
      <c r="A389" t="s">
        <v>1872</v>
      </c>
      <c r="B389" t="s">
        <v>1873</v>
      </c>
      <c r="C389" t="s">
        <v>1406</v>
      </c>
      <c r="D389" t="s">
        <v>1874</v>
      </c>
      <c r="E389" t="s">
        <v>1875</v>
      </c>
      <c r="F389" t="s">
        <v>612</v>
      </c>
      <c r="G389" t="s">
        <v>613</v>
      </c>
      <c r="H389" t="s">
        <v>655</v>
      </c>
    </row>
    <row r="390" spans="1:8" x14ac:dyDescent="0.25">
      <c r="A390" t="s">
        <v>1876</v>
      </c>
      <c r="B390" t="s">
        <v>1877</v>
      </c>
      <c r="C390" t="s">
        <v>716</v>
      </c>
      <c r="D390" t="s">
        <v>1113</v>
      </c>
      <c r="F390" t="s">
        <v>612</v>
      </c>
      <c r="G390" t="s">
        <v>613</v>
      </c>
      <c r="H390" t="s">
        <v>655</v>
      </c>
    </row>
    <row r="391" spans="1:8" x14ac:dyDescent="0.25">
      <c r="A391" t="s">
        <v>1878</v>
      </c>
      <c r="B391" t="s">
        <v>1879</v>
      </c>
      <c r="C391" t="s">
        <v>1346</v>
      </c>
      <c r="D391" t="s">
        <v>1880</v>
      </c>
      <c r="E391" t="s">
        <v>1881</v>
      </c>
      <c r="F391" t="s">
        <v>612</v>
      </c>
      <c r="G391" t="s">
        <v>613</v>
      </c>
      <c r="H391" t="s">
        <v>618</v>
      </c>
    </row>
    <row r="392" spans="1:8" x14ac:dyDescent="0.25">
      <c r="A392" t="s">
        <v>553</v>
      </c>
      <c r="B392" t="s">
        <v>1882</v>
      </c>
      <c r="C392" t="s">
        <v>1883</v>
      </c>
      <c r="D392" t="s">
        <v>1884</v>
      </c>
      <c r="E392" t="s">
        <v>1885</v>
      </c>
      <c r="F392" t="s">
        <v>612</v>
      </c>
      <c r="G392" t="s">
        <v>613</v>
      </c>
      <c r="H392" t="s">
        <v>618</v>
      </c>
    </row>
    <row r="393" spans="1:8" x14ac:dyDescent="0.25">
      <c r="A393" t="s">
        <v>1886</v>
      </c>
      <c r="B393" t="s">
        <v>1887</v>
      </c>
      <c r="C393" t="s">
        <v>768</v>
      </c>
      <c r="D393" t="s">
        <v>769</v>
      </c>
      <c r="E393" t="s">
        <v>1888</v>
      </c>
      <c r="F393" t="s">
        <v>612</v>
      </c>
      <c r="G393" t="s">
        <v>613</v>
      </c>
      <c r="H393" t="s">
        <v>655</v>
      </c>
    </row>
    <row r="394" spans="1:8" x14ac:dyDescent="0.25">
      <c r="A394" t="s">
        <v>360</v>
      </c>
      <c r="B394" t="s">
        <v>1889</v>
      </c>
      <c r="C394" t="s">
        <v>621</v>
      </c>
      <c r="D394" t="s">
        <v>877</v>
      </c>
      <c r="E394" t="s">
        <v>1890</v>
      </c>
      <c r="F394" t="s">
        <v>612</v>
      </c>
      <c r="G394" t="s">
        <v>613</v>
      </c>
      <c r="H394" t="s">
        <v>618</v>
      </c>
    </row>
    <row r="395" spans="1:8" x14ac:dyDescent="0.25">
      <c r="A395" t="s">
        <v>1891</v>
      </c>
      <c r="B395" t="s">
        <v>1892</v>
      </c>
      <c r="C395" t="s">
        <v>640</v>
      </c>
      <c r="D395" t="s">
        <v>1492</v>
      </c>
      <c r="F395" t="s">
        <v>612</v>
      </c>
      <c r="G395" t="s">
        <v>613</v>
      </c>
      <c r="H395" t="s">
        <v>618</v>
      </c>
    </row>
    <row r="396" spans="1:8" x14ac:dyDescent="0.25">
      <c r="A396" t="s">
        <v>1893</v>
      </c>
      <c r="B396" t="s">
        <v>1894</v>
      </c>
      <c r="C396" t="s">
        <v>1346</v>
      </c>
      <c r="D396" t="s">
        <v>1214</v>
      </c>
      <c r="F396" t="s">
        <v>612</v>
      </c>
      <c r="G396" t="s">
        <v>613</v>
      </c>
      <c r="H396" t="s">
        <v>618</v>
      </c>
    </row>
    <row r="397" spans="1:8" x14ac:dyDescent="0.25">
      <c r="A397" t="s">
        <v>1895</v>
      </c>
      <c r="B397" t="s">
        <v>1896</v>
      </c>
      <c r="C397" t="s">
        <v>744</v>
      </c>
      <c r="D397" t="s">
        <v>1447</v>
      </c>
      <c r="F397" t="s">
        <v>612</v>
      </c>
      <c r="G397" t="s">
        <v>613</v>
      </c>
      <c r="H397" t="s">
        <v>618</v>
      </c>
    </row>
    <row r="398" spans="1:8" x14ac:dyDescent="0.25">
      <c r="A398" t="s">
        <v>78</v>
      </c>
      <c r="B398" t="s">
        <v>1897</v>
      </c>
      <c r="C398" t="s">
        <v>1898</v>
      </c>
      <c r="D398" t="s">
        <v>1899</v>
      </c>
      <c r="E398" t="s">
        <v>1900</v>
      </c>
      <c r="F398" t="s">
        <v>612</v>
      </c>
      <c r="G398" t="s">
        <v>613</v>
      </c>
      <c r="H398" t="s">
        <v>648</v>
      </c>
    </row>
    <row r="399" spans="1:8" x14ac:dyDescent="0.25">
      <c r="A399" t="s">
        <v>1901</v>
      </c>
      <c r="B399" t="s">
        <v>1902</v>
      </c>
      <c r="C399" t="s">
        <v>1903</v>
      </c>
      <c r="D399" t="s">
        <v>1904</v>
      </c>
      <c r="E399" t="s">
        <v>1905</v>
      </c>
      <c r="F399" t="s">
        <v>612</v>
      </c>
      <c r="G399" t="s">
        <v>613</v>
      </c>
      <c r="H399" t="s">
        <v>648</v>
      </c>
    </row>
    <row r="400" spans="1:8" x14ac:dyDescent="0.25">
      <c r="A400" t="s">
        <v>488</v>
      </c>
      <c r="B400" t="s">
        <v>1906</v>
      </c>
      <c r="C400" t="s">
        <v>744</v>
      </c>
      <c r="D400" t="s">
        <v>1907</v>
      </c>
      <c r="E400" t="s">
        <v>1908</v>
      </c>
      <c r="F400" t="s">
        <v>612</v>
      </c>
      <c r="G400" t="s">
        <v>613</v>
      </c>
      <c r="H400" t="s">
        <v>618</v>
      </c>
    </row>
    <row r="401" spans="1:8" x14ac:dyDescent="0.25">
      <c r="A401" t="s">
        <v>1909</v>
      </c>
      <c r="B401" t="s">
        <v>1910</v>
      </c>
      <c r="C401" t="s">
        <v>744</v>
      </c>
      <c r="D401" t="s">
        <v>1825</v>
      </c>
      <c r="F401" t="s">
        <v>612</v>
      </c>
      <c r="G401" t="s">
        <v>613</v>
      </c>
      <c r="H401" t="s">
        <v>618</v>
      </c>
    </row>
    <row r="402" spans="1:8" x14ac:dyDescent="0.25">
      <c r="A402" t="s">
        <v>1911</v>
      </c>
      <c r="B402" t="s">
        <v>1912</v>
      </c>
      <c r="C402" t="s">
        <v>744</v>
      </c>
      <c r="D402" t="s">
        <v>750</v>
      </c>
      <c r="F402" t="s">
        <v>612</v>
      </c>
      <c r="G402" t="s">
        <v>613</v>
      </c>
      <c r="H402" t="s">
        <v>618</v>
      </c>
    </row>
    <row r="403" spans="1:8" x14ac:dyDescent="0.25">
      <c r="A403" t="s">
        <v>1913</v>
      </c>
      <c r="B403" t="s">
        <v>1914</v>
      </c>
      <c r="C403" t="s">
        <v>744</v>
      </c>
      <c r="D403" t="s">
        <v>1915</v>
      </c>
      <c r="E403" t="s">
        <v>1916</v>
      </c>
      <c r="F403" t="s">
        <v>612</v>
      </c>
      <c r="G403" t="s">
        <v>613</v>
      </c>
      <c r="H403" t="s">
        <v>618</v>
      </c>
    </row>
    <row r="404" spans="1:8" x14ac:dyDescent="0.25">
      <c r="A404" t="s">
        <v>1917</v>
      </c>
      <c r="B404" t="s">
        <v>1918</v>
      </c>
      <c r="C404" t="s">
        <v>1919</v>
      </c>
      <c r="D404" t="s">
        <v>888</v>
      </c>
      <c r="E404" t="s">
        <v>1920</v>
      </c>
      <c r="F404" t="s">
        <v>612</v>
      </c>
      <c r="G404" t="s">
        <v>613</v>
      </c>
      <c r="H404" t="s">
        <v>655</v>
      </c>
    </row>
    <row r="405" spans="1:8" x14ac:dyDescent="0.25">
      <c r="A405" t="s">
        <v>1921</v>
      </c>
      <c r="B405" t="s">
        <v>1922</v>
      </c>
      <c r="C405" t="s">
        <v>1923</v>
      </c>
      <c r="D405" t="s">
        <v>1828</v>
      </c>
      <c r="E405" t="s">
        <v>1924</v>
      </c>
      <c r="F405" t="s">
        <v>612</v>
      </c>
      <c r="G405" t="s">
        <v>613</v>
      </c>
      <c r="H405" t="s">
        <v>618</v>
      </c>
    </row>
    <row r="406" spans="1:8" x14ac:dyDescent="0.25">
      <c r="A406" t="s">
        <v>1925</v>
      </c>
      <c r="B406" t="s">
        <v>1926</v>
      </c>
      <c r="C406" t="s">
        <v>962</v>
      </c>
      <c r="D406" t="s">
        <v>1762</v>
      </c>
      <c r="E406" t="s">
        <v>1927</v>
      </c>
      <c r="F406" t="s">
        <v>612</v>
      </c>
      <c r="G406" t="s">
        <v>613</v>
      </c>
      <c r="H406" t="s">
        <v>648</v>
      </c>
    </row>
    <row r="407" spans="1:8" x14ac:dyDescent="0.25">
      <c r="A407" t="s">
        <v>1928</v>
      </c>
      <c r="B407" t="s">
        <v>1929</v>
      </c>
      <c r="C407" t="s">
        <v>897</v>
      </c>
      <c r="D407" t="s">
        <v>1688</v>
      </c>
      <c r="E407" t="s">
        <v>1930</v>
      </c>
      <c r="F407" t="s">
        <v>612</v>
      </c>
      <c r="G407" t="s">
        <v>613</v>
      </c>
      <c r="H407" t="s">
        <v>655</v>
      </c>
    </row>
    <row r="408" spans="1:8" x14ac:dyDescent="0.25">
      <c r="A408" t="s">
        <v>1931</v>
      </c>
      <c r="B408" t="s">
        <v>1932</v>
      </c>
      <c r="C408" t="s">
        <v>678</v>
      </c>
      <c r="D408" t="s">
        <v>1153</v>
      </c>
      <c r="E408" t="s">
        <v>1933</v>
      </c>
      <c r="F408" t="s">
        <v>612</v>
      </c>
      <c r="G408" t="s">
        <v>613</v>
      </c>
      <c r="H408" t="s">
        <v>681</v>
      </c>
    </row>
    <row r="409" spans="1:8" x14ac:dyDescent="0.25">
      <c r="A409" t="s">
        <v>1934</v>
      </c>
      <c r="B409" t="s">
        <v>1935</v>
      </c>
      <c r="C409" t="s">
        <v>744</v>
      </c>
      <c r="D409" t="s">
        <v>679</v>
      </c>
      <c r="E409" t="s">
        <v>1936</v>
      </c>
      <c r="F409" t="s">
        <v>612</v>
      </c>
      <c r="G409" t="s">
        <v>613</v>
      </c>
      <c r="H409" t="s">
        <v>618</v>
      </c>
    </row>
    <row r="410" spans="1:8" x14ac:dyDescent="0.25">
      <c r="A410" t="s">
        <v>1937</v>
      </c>
      <c r="B410" t="s">
        <v>1938</v>
      </c>
      <c r="C410" t="s">
        <v>1939</v>
      </c>
      <c r="D410" t="s">
        <v>1940</v>
      </c>
      <c r="E410" t="s">
        <v>1941</v>
      </c>
      <c r="F410" t="s">
        <v>612</v>
      </c>
      <c r="G410" t="s">
        <v>613</v>
      </c>
      <c r="H410" t="s">
        <v>681</v>
      </c>
    </row>
    <row r="411" spans="1:8" x14ac:dyDescent="0.25">
      <c r="A411" t="s">
        <v>1942</v>
      </c>
      <c r="B411" t="s">
        <v>1943</v>
      </c>
      <c r="C411" t="s">
        <v>1033</v>
      </c>
      <c r="D411" t="s">
        <v>1944</v>
      </c>
      <c r="E411" t="s">
        <v>1945</v>
      </c>
      <c r="F411" t="s">
        <v>612</v>
      </c>
      <c r="G411" t="s">
        <v>613</v>
      </c>
      <c r="H411" t="s">
        <v>655</v>
      </c>
    </row>
    <row r="412" spans="1:8" x14ac:dyDescent="0.25">
      <c r="A412" t="s">
        <v>1946</v>
      </c>
      <c r="B412" t="s">
        <v>1947</v>
      </c>
      <c r="C412" t="s">
        <v>616</v>
      </c>
      <c r="D412" t="s">
        <v>1948</v>
      </c>
      <c r="F412" t="s">
        <v>612</v>
      </c>
      <c r="G412" t="s">
        <v>613</v>
      </c>
      <c r="H412" t="s">
        <v>618</v>
      </c>
    </row>
    <row r="413" spans="1:8" x14ac:dyDescent="0.25">
      <c r="A413" t="s">
        <v>225</v>
      </c>
      <c r="B413" t="s">
        <v>1949</v>
      </c>
      <c r="C413" t="s">
        <v>86</v>
      </c>
      <c r="D413" t="s">
        <v>666</v>
      </c>
      <c r="E413" t="s">
        <v>1950</v>
      </c>
      <c r="F413" t="s">
        <v>612</v>
      </c>
      <c r="G413" t="s">
        <v>613</v>
      </c>
      <c r="H413" t="s">
        <v>634</v>
      </c>
    </row>
    <row r="414" spans="1:8" x14ac:dyDescent="0.25">
      <c r="A414" t="s">
        <v>1951</v>
      </c>
      <c r="B414" t="s">
        <v>1952</v>
      </c>
      <c r="C414" t="s">
        <v>1953</v>
      </c>
      <c r="D414" t="s">
        <v>1954</v>
      </c>
      <c r="E414" t="s">
        <v>1955</v>
      </c>
      <c r="F414" t="s">
        <v>612</v>
      </c>
      <c r="G414" t="s">
        <v>613</v>
      </c>
      <c r="H414" t="s">
        <v>681</v>
      </c>
    </row>
    <row r="415" spans="1:8" x14ac:dyDescent="0.25">
      <c r="A415" t="s">
        <v>1956</v>
      </c>
      <c r="B415" t="s">
        <v>1957</v>
      </c>
      <c r="C415" t="s">
        <v>744</v>
      </c>
      <c r="D415" t="s">
        <v>1081</v>
      </c>
      <c r="E415" t="s">
        <v>1958</v>
      </c>
      <c r="F415" t="s">
        <v>612</v>
      </c>
      <c r="G415" t="s">
        <v>613</v>
      </c>
      <c r="H415" t="s">
        <v>618</v>
      </c>
    </row>
    <row r="416" spans="1:8" x14ac:dyDescent="0.25">
      <c r="A416" t="s">
        <v>1959</v>
      </c>
      <c r="B416" t="s">
        <v>1960</v>
      </c>
      <c r="C416" t="s">
        <v>703</v>
      </c>
      <c r="D416" t="s">
        <v>721</v>
      </c>
      <c r="F416" t="s">
        <v>612</v>
      </c>
      <c r="G416" t="s">
        <v>613</v>
      </c>
      <c r="H416" t="s">
        <v>618</v>
      </c>
    </row>
    <row r="417" spans="1:8" x14ac:dyDescent="0.25">
      <c r="A417" t="s">
        <v>213</v>
      </c>
      <c r="B417" t="s">
        <v>1961</v>
      </c>
      <c r="C417" t="s">
        <v>211</v>
      </c>
      <c r="D417" t="s">
        <v>1962</v>
      </c>
      <c r="F417" t="s">
        <v>612</v>
      </c>
      <c r="G417" t="s">
        <v>613</v>
      </c>
      <c r="H417" t="s">
        <v>634</v>
      </c>
    </row>
    <row r="418" spans="1:8" x14ac:dyDescent="0.25">
      <c r="A418" t="s">
        <v>39</v>
      </c>
      <c r="B418" t="s">
        <v>1963</v>
      </c>
      <c r="C418" t="s">
        <v>700</v>
      </c>
      <c r="D418" t="s">
        <v>1647</v>
      </c>
      <c r="E418" t="s">
        <v>1964</v>
      </c>
      <c r="F418" t="s">
        <v>612</v>
      </c>
      <c r="G418" t="s">
        <v>613</v>
      </c>
      <c r="H418" t="s">
        <v>618</v>
      </c>
    </row>
    <row r="419" spans="1:8" x14ac:dyDescent="0.25">
      <c r="A419" t="s">
        <v>1965</v>
      </c>
      <c r="B419" t="s">
        <v>1966</v>
      </c>
      <c r="C419" t="s">
        <v>67</v>
      </c>
      <c r="D419" t="s">
        <v>1967</v>
      </c>
      <c r="E419" t="s">
        <v>1968</v>
      </c>
      <c r="F419" t="s">
        <v>612</v>
      </c>
      <c r="G419" t="s">
        <v>613</v>
      </c>
      <c r="H419" t="s">
        <v>655</v>
      </c>
    </row>
    <row r="420" spans="1:8" x14ac:dyDescent="0.25">
      <c r="A420" t="s">
        <v>325</v>
      </c>
      <c r="B420" t="s">
        <v>1969</v>
      </c>
      <c r="C420" t="s">
        <v>1970</v>
      </c>
      <c r="D420" t="s">
        <v>894</v>
      </c>
      <c r="F420" t="s">
        <v>612</v>
      </c>
      <c r="G420" t="s">
        <v>613</v>
      </c>
      <c r="H420" t="s">
        <v>648</v>
      </c>
    </row>
    <row r="421" spans="1:8" x14ac:dyDescent="0.25">
      <c r="A421" t="s">
        <v>328</v>
      </c>
      <c r="B421" t="s">
        <v>1971</v>
      </c>
      <c r="C421" t="s">
        <v>836</v>
      </c>
      <c r="D421" t="s">
        <v>1972</v>
      </c>
      <c r="E421" t="s">
        <v>1973</v>
      </c>
      <c r="F421" t="s">
        <v>612</v>
      </c>
      <c r="G421" t="s">
        <v>613</v>
      </c>
      <c r="H421" t="s">
        <v>618</v>
      </c>
    </row>
    <row r="422" spans="1:8" x14ac:dyDescent="0.25">
      <c r="A422" t="s">
        <v>570</v>
      </c>
      <c r="B422" t="s">
        <v>1974</v>
      </c>
      <c r="C422" t="s">
        <v>700</v>
      </c>
      <c r="D422" t="s">
        <v>1088</v>
      </c>
      <c r="F422" t="s">
        <v>612</v>
      </c>
      <c r="G422" t="s">
        <v>613</v>
      </c>
      <c r="H422" t="s">
        <v>618</v>
      </c>
    </row>
    <row r="423" spans="1:8" x14ac:dyDescent="0.25">
      <c r="A423" t="s">
        <v>1975</v>
      </c>
      <c r="B423" t="s">
        <v>1976</v>
      </c>
      <c r="C423" t="s">
        <v>768</v>
      </c>
      <c r="D423" t="s">
        <v>769</v>
      </c>
      <c r="E423" t="s">
        <v>1977</v>
      </c>
      <c r="F423" t="s">
        <v>612</v>
      </c>
      <c r="G423" t="s">
        <v>613</v>
      </c>
      <c r="H423" t="s">
        <v>655</v>
      </c>
    </row>
    <row r="424" spans="1:8" x14ac:dyDescent="0.25">
      <c r="A424" t="s">
        <v>1978</v>
      </c>
      <c r="B424" t="s">
        <v>1979</v>
      </c>
      <c r="C424" t="s">
        <v>1379</v>
      </c>
      <c r="D424" t="s">
        <v>1980</v>
      </c>
      <c r="E424" t="s">
        <v>1981</v>
      </c>
      <c r="F424" t="s">
        <v>612</v>
      </c>
      <c r="G424" t="s">
        <v>613</v>
      </c>
      <c r="H424" t="s">
        <v>648</v>
      </c>
    </row>
    <row r="425" spans="1:8" x14ac:dyDescent="0.25">
      <c r="A425" t="s">
        <v>1982</v>
      </c>
      <c r="B425" t="s">
        <v>1983</v>
      </c>
      <c r="C425" t="s">
        <v>1467</v>
      </c>
      <c r="D425" t="s">
        <v>1984</v>
      </c>
      <c r="E425" t="s">
        <v>1985</v>
      </c>
      <c r="F425" t="s">
        <v>612</v>
      </c>
      <c r="G425" t="s">
        <v>613</v>
      </c>
      <c r="H425" t="s">
        <v>681</v>
      </c>
    </row>
    <row r="426" spans="1:8" x14ac:dyDescent="0.25">
      <c r="A426" t="s">
        <v>1986</v>
      </c>
      <c r="B426" t="s">
        <v>1987</v>
      </c>
      <c r="C426" t="s">
        <v>1368</v>
      </c>
      <c r="D426" t="s">
        <v>611</v>
      </c>
      <c r="E426" t="s">
        <v>1988</v>
      </c>
      <c r="F426" t="s">
        <v>612</v>
      </c>
      <c r="G426" t="s">
        <v>613</v>
      </c>
      <c r="H426" t="s">
        <v>655</v>
      </c>
    </row>
    <row r="427" spans="1:8" x14ac:dyDescent="0.25">
      <c r="A427" t="s">
        <v>1989</v>
      </c>
      <c r="B427" t="s">
        <v>1990</v>
      </c>
      <c r="C427" t="s">
        <v>1991</v>
      </c>
      <c r="D427" t="s">
        <v>948</v>
      </c>
      <c r="E427" t="s">
        <v>1992</v>
      </c>
      <c r="F427" t="s">
        <v>612</v>
      </c>
      <c r="G427" t="s">
        <v>613</v>
      </c>
      <c r="H427" t="s">
        <v>648</v>
      </c>
    </row>
    <row r="428" spans="1:8" x14ac:dyDescent="0.25">
      <c r="A428" t="s">
        <v>1993</v>
      </c>
      <c r="B428" t="s">
        <v>1994</v>
      </c>
      <c r="C428" t="s">
        <v>616</v>
      </c>
      <c r="D428" t="s">
        <v>1995</v>
      </c>
      <c r="E428" t="s">
        <v>1996</v>
      </c>
      <c r="F428" t="s">
        <v>612</v>
      </c>
      <c r="G428" t="s">
        <v>613</v>
      </c>
      <c r="H428" t="s">
        <v>618</v>
      </c>
    </row>
    <row r="429" spans="1:8" x14ac:dyDescent="0.25">
      <c r="A429" t="s">
        <v>1997</v>
      </c>
      <c r="B429" t="s">
        <v>1998</v>
      </c>
      <c r="C429" t="s">
        <v>1999</v>
      </c>
      <c r="D429" t="s">
        <v>791</v>
      </c>
      <c r="E429" t="s">
        <v>2000</v>
      </c>
      <c r="F429" t="s">
        <v>612</v>
      </c>
      <c r="G429" t="s">
        <v>613</v>
      </c>
      <c r="H429" t="s">
        <v>634</v>
      </c>
    </row>
    <row r="430" spans="1:8" x14ac:dyDescent="0.25">
      <c r="A430" t="s">
        <v>2001</v>
      </c>
      <c r="B430" t="s">
        <v>2002</v>
      </c>
      <c r="C430" t="s">
        <v>86</v>
      </c>
      <c r="D430" t="s">
        <v>2003</v>
      </c>
      <c r="E430" t="s">
        <v>2004</v>
      </c>
      <c r="F430" t="s">
        <v>612</v>
      </c>
      <c r="G430" t="s">
        <v>613</v>
      </c>
      <c r="H430" t="s">
        <v>634</v>
      </c>
    </row>
    <row r="431" spans="1:8" x14ac:dyDescent="0.25">
      <c r="A431" t="s">
        <v>73</v>
      </c>
      <c r="B431" t="s">
        <v>2005</v>
      </c>
      <c r="C431" t="s">
        <v>716</v>
      </c>
      <c r="D431" t="s">
        <v>1447</v>
      </c>
      <c r="F431" t="s">
        <v>612</v>
      </c>
      <c r="G431" t="s">
        <v>613</v>
      </c>
      <c r="H431" t="s">
        <v>655</v>
      </c>
    </row>
    <row r="432" spans="1:8" x14ac:dyDescent="0.25">
      <c r="A432" t="s">
        <v>2006</v>
      </c>
      <c r="B432" t="s">
        <v>2007</v>
      </c>
      <c r="C432" t="s">
        <v>749</v>
      </c>
      <c r="D432" t="s">
        <v>948</v>
      </c>
      <c r="E432" t="s">
        <v>2008</v>
      </c>
      <c r="F432" t="s">
        <v>612</v>
      </c>
      <c r="G432" t="s">
        <v>613</v>
      </c>
      <c r="H432" t="s">
        <v>1193</v>
      </c>
    </row>
    <row r="433" spans="1:8" x14ac:dyDescent="0.25">
      <c r="A433" t="s">
        <v>2009</v>
      </c>
      <c r="B433" t="s">
        <v>2010</v>
      </c>
      <c r="C433" t="s">
        <v>86</v>
      </c>
      <c r="D433" t="s">
        <v>2011</v>
      </c>
      <c r="E433" t="s">
        <v>2012</v>
      </c>
      <c r="F433" t="s">
        <v>612</v>
      </c>
      <c r="G433" t="s">
        <v>613</v>
      </c>
      <c r="H433" t="s">
        <v>634</v>
      </c>
    </row>
    <row r="434" spans="1:8" x14ac:dyDescent="0.25">
      <c r="A434" t="s">
        <v>2013</v>
      </c>
      <c r="B434" t="s">
        <v>2014</v>
      </c>
      <c r="C434" t="s">
        <v>2015</v>
      </c>
      <c r="D434" t="s">
        <v>2016</v>
      </c>
      <c r="E434" t="s">
        <v>2017</v>
      </c>
      <c r="F434" t="s">
        <v>612</v>
      </c>
      <c r="G434" t="s">
        <v>613</v>
      </c>
      <c r="H434" t="s">
        <v>655</v>
      </c>
    </row>
    <row r="435" spans="1:8" x14ac:dyDescent="0.25">
      <c r="A435" t="s">
        <v>316</v>
      </c>
      <c r="B435" t="s">
        <v>2018</v>
      </c>
      <c r="C435" t="s">
        <v>2019</v>
      </c>
      <c r="D435" t="s">
        <v>2020</v>
      </c>
      <c r="E435" t="s">
        <v>2021</v>
      </c>
      <c r="F435" t="s">
        <v>612</v>
      </c>
      <c r="G435" t="s">
        <v>613</v>
      </c>
      <c r="H435" t="s">
        <v>634</v>
      </c>
    </row>
    <row r="436" spans="1:8" x14ac:dyDescent="0.25">
      <c r="A436" t="s">
        <v>2022</v>
      </c>
      <c r="B436" t="s">
        <v>2023</v>
      </c>
      <c r="C436" t="s">
        <v>1080</v>
      </c>
      <c r="D436" t="s">
        <v>769</v>
      </c>
      <c r="E436" t="s">
        <v>2024</v>
      </c>
      <c r="F436" t="s">
        <v>612</v>
      </c>
      <c r="G436" t="s">
        <v>613</v>
      </c>
      <c r="H436" t="s">
        <v>681</v>
      </c>
    </row>
    <row r="437" spans="1:8" x14ac:dyDescent="0.25">
      <c r="A437" t="s">
        <v>91</v>
      </c>
      <c r="B437" t="s">
        <v>2025</v>
      </c>
      <c r="C437" t="s">
        <v>768</v>
      </c>
      <c r="D437" t="s">
        <v>769</v>
      </c>
      <c r="E437" t="s">
        <v>2026</v>
      </c>
      <c r="F437" t="s">
        <v>612</v>
      </c>
      <c r="G437" t="s">
        <v>613</v>
      </c>
      <c r="H437" t="s">
        <v>655</v>
      </c>
    </row>
    <row r="438" spans="1:8" x14ac:dyDescent="0.25">
      <c r="A438" t="s">
        <v>2027</v>
      </c>
      <c r="B438" t="s">
        <v>2028</v>
      </c>
      <c r="C438" t="s">
        <v>621</v>
      </c>
      <c r="D438" t="s">
        <v>2029</v>
      </c>
      <c r="E438" t="s">
        <v>2030</v>
      </c>
      <c r="F438" t="s">
        <v>612</v>
      </c>
      <c r="G438" t="s">
        <v>613</v>
      </c>
      <c r="H438" t="s">
        <v>618</v>
      </c>
    </row>
    <row r="439" spans="1:8" x14ac:dyDescent="0.25">
      <c r="A439" t="s">
        <v>428</v>
      </c>
      <c r="B439" t="s">
        <v>2031</v>
      </c>
      <c r="C439" t="s">
        <v>700</v>
      </c>
      <c r="D439" t="s">
        <v>2032</v>
      </c>
      <c r="E439" t="s">
        <v>2033</v>
      </c>
      <c r="F439" t="s">
        <v>612</v>
      </c>
      <c r="G439" t="s">
        <v>613</v>
      </c>
      <c r="H439" t="s">
        <v>618</v>
      </c>
    </row>
    <row r="440" spans="1:8" x14ac:dyDescent="0.25">
      <c r="A440" t="s">
        <v>2034</v>
      </c>
      <c r="B440" t="s">
        <v>2035</v>
      </c>
      <c r="C440" t="s">
        <v>1346</v>
      </c>
      <c r="D440" t="s">
        <v>1214</v>
      </c>
      <c r="F440" t="s">
        <v>612</v>
      </c>
      <c r="G440" t="s">
        <v>613</v>
      </c>
      <c r="H440" t="s">
        <v>618</v>
      </c>
    </row>
    <row r="441" spans="1:8" x14ac:dyDescent="0.25">
      <c r="A441" t="s">
        <v>2036</v>
      </c>
      <c r="B441" t="s">
        <v>2037</v>
      </c>
      <c r="C441" t="s">
        <v>67</v>
      </c>
      <c r="D441" t="s">
        <v>2038</v>
      </c>
      <c r="E441" t="s">
        <v>2039</v>
      </c>
      <c r="F441" t="s">
        <v>612</v>
      </c>
      <c r="G441" t="s">
        <v>613</v>
      </c>
      <c r="H441" t="s">
        <v>655</v>
      </c>
    </row>
    <row r="442" spans="1:8" x14ac:dyDescent="0.25">
      <c r="A442" t="s">
        <v>2040</v>
      </c>
      <c r="B442" t="s">
        <v>2041</v>
      </c>
      <c r="C442" t="s">
        <v>1102</v>
      </c>
      <c r="D442" t="s">
        <v>2042</v>
      </c>
      <c r="E442" t="s">
        <v>2043</v>
      </c>
      <c r="F442" t="s">
        <v>612</v>
      </c>
      <c r="G442" t="s">
        <v>613</v>
      </c>
      <c r="H442" t="s">
        <v>648</v>
      </c>
    </row>
    <row r="443" spans="1:8" x14ac:dyDescent="0.25">
      <c r="A443" t="s">
        <v>2044</v>
      </c>
      <c r="B443" t="s">
        <v>2045</v>
      </c>
      <c r="C443" t="s">
        <v>2046</v>
      </c>
      <c r="D443" t="s">
        <v>2047</v>
      </c>
      <c r="E443" t="s">
        <v>2048</v>
      </c>
      <c r="F443" t="s">
        <v>612</v>
      </c>
      <c r="G443" t="s">
        <v>613</v>
      </c>
      <c r="H443" t="s">
        <v>655</v>
      </c>
    </row>
    <row r="444" spans="1:8" x14ac:dyDescent="0.25">
      <c r="A444" t="s">
        <v>2049</v>
      </c>
      <c r="B444" t="s">
        <v>2050</v>
      </c>
      <c r="C444" t="s">
        <v>631</v>
      </c>
      <c r="D444" t="s">
        <v>2051</v>
      </c>
      <c r="F444" t="s">
        <v>612</v>
      </c>
      <c r="G444" t="s">
        <v>613</v>
      </c>
      <c r="H444" t="s">
        <v>634</v>
      </c>
    </row>
    <row r="445" spans="1:8" x14ac:dyDescent="0.25">
      <c r="A445" t="s">
        <v>2052</v>
      </c>
      <c r="B445" t="s">
        <v>2053</v>
      </c>
      <c r="C445" t="s">
        <v>168</v>
      </c>
      <c r="D445" t="s">
        <v>2054</v>
      </c>
      <c r="E445" t="s">
        <v>2055</v>
      </c>
      <c r="F445" t="s">
        <v>612</v>
      </c>
      <c r="G445" t="s">
        <v>613</v>
      </c>
      <c r="H445" t="s">
        <v>655</v>
      </c>
    </row>
    <row r="446" spans="1:8" x14ac:dyDescent="0.25">
      <c r="A446" t="s">
        <v>2056</v>
      </c>
      <c r="B446" t="s">
        <v>2057</v>
      </c>
      <c r="C446" t="s">
        <v>67</v>
      </c>
      <c r="D446" t="s">
        <v>2058</v>
      </c>
      <c r="E446" t="s">
        <v>2059</v>
      </c>
      <c r="F446" t="s">
        <v>612</v>
      </c>
      <c r="G446" t="s">
        <v>613</v>
      </c>
      <c r="H446" t="s">
        <v>655</v>
      </c>
    </row>
    <row r="447" spans="1:8" x14ac:dyDescent="0.25">
      <c r="A447" t="s">
        <v>2060</v>
      </c>
      <c r="B447" t="s">
        <v>2061</v>
      </c>
      <c r="C447" t="s">
        <v>102</v>
      </c>
      <c r="D447" t="s">
        <v>1020</v>
      </c>
      <c r="F447" t="s">
        <v>612</v>
      </c>
      <c r="G447" t="s">
        <v>613</v>
      </c>
      <c r="H447" t="s">
        <v>655</v>
      </c>
    </row>
    <row r="448" spans="1:8" x14ac:dyDescent="0.25">
      <c r="A448" t="s">
        <v>2062</v>
      </c>
      <c r="B448" t="s">
        <v>2063</v>
      </c>
      <c r="C448" t="s">
        <v>744</v>
      </c>
      <c r="D448" t="s">
        <v>1703</v>
      </c>
      <c r="E448" t="s">
        <v>2064</v>
      </c>
      <c r="F448" t="s">
        <v>612</v>
      </c>
      <c r="G448" t="s">
        <v>613</v>
      </c>
      <c r="H448" t="s">
        <v>618</v>
      </c>
    </row>
    <row r="449" spans="1:8" x14ac:dyDescent="0.25">
      <c r="A449" t="s">
        <v>248</v>
      </c>
      <c r="B449" t="s">
        <v>2065</v>
      </c>
      <c r="C449" t="s">
        <v>86</v>
      </c>
      <c r="D449" t="s">
        <v>1675</v>
      </c>
      <c r="E449" t="s">
        <v>2066</v>
      </c>
      <c r="F449" t="s">
        <v>612</v>
      </c>
      <c r="G449" t="s">
        <v>613</v>
      </c>
      <c r="H449" t="s">
        <v>634</v>
      </c>
    </row>
    <row r="450" spans="1:8" x14ac:dyDescent="0.25">
      <c r="A450" t="s">
        <v>2067</v>
      </c>
      <c r="B450" t="s">
        <v>2068</v>
      </c>
      <c r="C450" t="s">
        <v>2069</v>
      </c>
      <c r="D450" t="s">
        <v>2070</v>
      </c>
      <c r="E450" t="s">
        <v>2071</v>
      </c>
      <c r="F450" t="s">
        <v>612</v>
      </c>
      <c r="G450" t="s">
        <v>613</v>
      </c>
      <c r="H450" t="s">
        <v>648</v>
      </c>
    </row>
    <row r="451" spans="1:8" x14ac:dyDescent="0.25">
      <c r="A451" t="s">
        <v>2072</v>
      </c>
      <c r="B451" t="s">
        <v>2073</v>
      </c>
      <c r="C451" t="s">
        <v>661</v>
      </c>
      <c r="D451" t="s">
        <v>2074</v>
      </c>
      <c r="F451" t="s">
        <v>612</v>
      </c>
      <c r="G451" t="s">
        <v>613</v>
      </c>
      <c r="H451" t="s">
        <v>634</v>
      </c>
    </row>
    <row r="452" spans="1:8" x14ac:dyDescent="0.25">
      <c r="A452" t="s">
        <v>97</v>
      </c>
      <c r="B452" t="s">
        <v>2075</v>
      </c>
      <c r="C452" t="s">
        <v>86</v>
      </c>
      <c r="D452" t="s">
        <v>2076</v>
      </c>
      <c r="E452" t="s">
        <v>2077</v>
      </c>
      <c r="F452" t="s">
        <v>612</v>
      </c>
      <c r="G452" t="s">
        <v>613</v>
      </c>
      <c r="H452" t="s">
        <v>634</v>
      </c>
    </row>
    <row r="453" spans="1:8" x14ac:dyDescent="0.25">
      <c r="A453" t="s">
        <v>2078</v>
      </c>
      <c r="B453" t="s">
        <v>2079</v>
      </c>
      <c r="C453" t="s">
        <v>1431</v>
      </c>
      <c r="D453" t="s">
        <v>2080</v>
      </c>
      <c r="E453" t="s">
        <v>2081</v>
      </c>
      <c r="F453" t="s">
        <v>612</v>
      </c>
      <c r="G453" t="s">
        <v>613</v>
      </c>
      <c r="H453" t="s">
        <v>681</v>
      </c>
    </row>
    <row r="454" spans="1:8" x14ac:dyDescent="0.25">
      <c r="A454" t="s">
        <v>2082</v>
      </c>
      <c r="B454" t="s">
        <v>2083</v>
      </c>
      <c r="C454" t="s">
        <v>836</v>
      </c>
      <c r="D454" t="s">
        <v>2084</v>
      </c>
      <c r="E454" t="s">
        <v>2085</v>
      </c>
      <c r="F454" t="s">
        <v>612</v>
      </c>
      <c r="G454" t="s">
        <v>613</v>
      </c>
      <c r="H454" t="s">
        <v>634</v>
      </c>
    </row>
    <row r="455" spans="1:8" x14ac:dyDescent="0.25">
      <c r="A455" t="s">
        <v>2086</v>
      </c>
      <c r="B455" t="s">
        <v>2087</v>
      </c>
      <c r="C455" t="s">
        <v>1136</v>
      </c>
      <c r="D455" t="s">
        <v>2088</v>
      </c>
      <c r="E455" t="s">
        <v>2089</v>
      </c>
      <c r="F455" t="s">
        <v>612</v>
      </c>
      <c r="G455" t="s">
        <v>613</v>
      </c>
      <c r="H455" t="s">
        <v>618</v>
      </c>
    </row>
    <row r="456" spans="1:8" x14ac:dyDescent="0.25">
      <c r="A456" t="s">
        <v>2090</v>
      </c>
      <c r="B456" t="s">
        <v>2091</v>
      </c>
      <c r="C456" t="s">
        <v>768</v>
      </c>
      <c r="D456" t="s">
        <v>769</v>
      </c>
      <c r="E456" t="s">
        <v>2092</v>
      </c>
      <c r="F456" t="s">
        <v>612</v>
      </c>
      <c r="G456" t="s">
        <v>613</v>
      </c>
      <c r="H456" t="s">
        <v>655</v>
      </c>
    </row>
    <row r="457" spans="1:8" x14ac:dyDescent="0.25">
      <c r="A457" t="s">
        <v>519</v>
      </c>
      <c r="B457" t="s">
        <v>2093</v>
      </c>
      <c r="C457" t="s">
        <v>640</v>
      </c>
      <c r="D457" t="s">
        <v>2094</v>
      </c>
      <c r="E457" t="s">
        <v>2095</v>
      </c>
      <c r="F457" t="s">
        <v>612</v>
      </c>
      <c r="G457" t="s">
        <v>613</v>
      </c>
      <c r="H457" t="s">
        <v>618</v>
      </c>
    </row>
    <row r="458" spans="1:8" x14ac:dyDescent="0.25">
      <c r="A458" t="s">
        <v>137</v>
      </c>
      <c r="B458" t="s">
        <v>2096</v>
      </c>
      <c r="C458" t="s">
        <v>653</v>
      </c>
      <c r="D458" t="s">
        <v>1088</v>
      </c>
      <c r="F458" t="s">
        <v>612</v>
      </c>
      <c r="G458" t="s">
        <v>613</v>
      </c>
      <c r="H458" t="s">
        <v>655</v>
      </c>
    </row>
    <row r="459" spans="1:8" x14ac:dyDescent="0.25">
      <c r="A459" t="s">
        <v>2097</v>
      </c>
      <c r="B459" t="s">
        <v>2098</v>
      </c>
      <c r="C459" t="s">
        <v>86</v>
      </c>
      <c r="D459" t="s">
        <v>867</v>
      </c>
      <c r="F459" t="s">
        <v>612</v>
      </c>
      <c r="G459" t="s">
        <v>613</v>
      </c>
      <c r="H459" t="s">
        <v>634</v>
      </c>
    </row>
    <row r="460" spans="1:8" x14ac:dyDescent="0.25">
      <c r="A460" t="s">
        <v>181</v>
      </c>
      <c r="B460" t="s">
        <v>2099</v>
      </c>
      <c r="C460" t="s">
        <v>1102</v>
      </c>
      <c r="D460" t="s">
        <v>791</v>
      </c>
      <c r="E460" t="s">
        <v>2100</v>
      </c>
      <c r="F460" t="s">
        <v>612</v>
      </c>
      <c r="G460" t="s">
        <v>613</v>
      </c>
      <c r="H460" t="s">
        <v>648</v>
      </c>
    </row>
    <row r="461" spans="1:8" x14ac:dyDescent="0.25">
      <c r="A461" t="s">
        <v>2101</v>
      </c>
      <c r="B461" t="s">
        <v>2102</v>
      </c>
      <c r="C461" t="s">
        <v>616</v>
      </c>
      <c r="D461" t="s">
        <v>2103</v>
      </c>
      <c r="E461" t="s">
        <v>2104</v>
      </c>
      <c r="F461" t="s">
        <v>612</v>
      </c>
      <c r="G461" t="s">
        <v>613</v>
      </c>
      <c r="H461" t="s">
        <v>618</v>
      </c>
    </row>
    <row r="462" spans="1:8" x14ac:dyDescent="0.25">
      <c r="A462" t="s">
        <v>167</v>
      </c>
      <c r="B462" t="s">
        <v>2105</v>
      </c>
      <c r="C462" t="s">
        <v>168</v>
      </c>
      <c r="D462" t="s">
        <v>2106</v>
      </c>
      <c r="E462" t="s">
        <v>2107</v>
      </c>
      <c r="F462" t="s">
        <v>612</v>
      </c>
      <c r="G462" t="s">
        <v>613</v>
      </c>
      <c r="H462" t="s">
        <v>655</v>
      </c>
    </row>
    <row r="463" spans="1:8" x14ac:dyDescent="0.25">
      <c r="A463" t="s">
        <v>2108</v>
      </c>
      <c r="B463" t="s">
        <v>2109</v>
      </c>
      <c r="C463" t="s">
        <v>2110</v>
      </c>
      <c r="D463" t="s">
        <v>2111</v>
      </c>
      <c r="E463" t="s">
        <v>2112</v>
      </c>
      <c r="F463" t="s">
        <v>612</v>
      </c>
      <c r="G463" t="s">
        <v>613</v>
      </c>
      <c r="H463" t="s">
        <v>681</v>
      </c>
    </row>
    <row r="464" spans="1:8" x14ac:dyDescent="0.25">
      <c r="A464" t="s">
        <v>235</v>
      </c>
      <c r="B464" t="s">
        <v>2113</v>
      </c>
      <c r="C464" t="s">
        <v>691</v>
      </c>
      <c r="D464" t="s">
        <v>1546</v>
      </c>
      <c r="E464" t="s">
        <v>2114</v>
      </c>
      <c r="F464" t="s">
        <v>612</v>
      </c>
      <c r="G464" t="s">
        <v>613</v>
      </c>
      <c r="H464" t="s">
        <v>634</v>
      </c>
    </row>
    <row r="465" spans="1:8" x14ac:dyDescent="0.25">
      <c r="A465" t="s">
        <v>2115</v>
      </c>
      <c r="B465" t="s">
        <v>2116</v>
      </c>
      <c r="C465" t="s">
        <v>749</v>
      </c>
      <c r="D465" t="s">
        <v>753</v>
      </c>
      <c r="E465" t="s">
        <v>2117</v>
      </c>
      <c r="F465" t="s">
        <v>612</v>
      </c>
      <c r="G465" t="s">
        <v>613</v>
      </c>
      <c r="H465" t="s">
        <v>618</v>
      </c>
    </row>
    <row r="466" spans="1:8" x14ac:dyDescent="0.25">
      <c r="A466" t="s">
        <v>2118</v>
      </c>
      <c r="B466" t="s">
        <v>2119</v>
      </c>
      <c r="C466" t="s">
        <v>168</v>
      </c>
      <c r="D466" t="s">
        <v>2120</v>
      </c>
      <c r="E466" t="s">
        <v>2121</v>
      </c>
      <c r="F466" t="s">
        <v>612</v>
      </c>
      <c r="G466" t="s">
        <v>613</v>
      </c>
      <c r="H466" t="s">
        <v>655</v>
      </c>
    </row>
    <row r="467" spans="1:8" x14ac:dyDescent="0.25">
      <c r="A467" t="s">
        <v>2122</v>
      </c>
      <c r="B467" t="s">
        <v>2123</v>
      </c>
      <c r="C467" t="s">
        <v>876</v>
      </c>
      <c r="D467" t="s">
        <v>2124</v>
      </c>
      <c r="E467" t="s">
        <v>2125</v>
      </c>
      <c r="F467" t="s">
        <v>612</v>
      </c>
      <c r="G467" t="s">
        <v>613</v>
      </c>
      <c r="H467" t="s">
        <v>618</v>
      </c>
    </row>
    <row r="468" spans="1:8" x14ac:dyDescent="0.25">
      <c r="A468" t="s">
        <v>2128</v>
      </c>
      <c r="B468" t="s">
        <v>2129</v>
      </c>
      <c r="C468" t="s">
        <v>173</v>
      </c>
      <c r="D468" t="s">
        <v>1257</v>
      </c>
      <c r="F468" t="s">
        <v>612</v>
      </c>
      <c r="G468" t="s">
        <v>613</v>
      </c>
      <c r="H468" t="s">
        <v>628</v>
      </c>
    </row>
    <row r="469" spans="1:8" x14ac:dyDescent="0.25">
      <c r="A469" t="s">
        <v>2130</v>
      </c>
      <c r="B469" t="s">
        <v>2131</v>
      </c>
      <c r="C469" t="s">
        <v>2132</v>
      </c>
      <c r="D469" t="s">
        <v>1041</v>
      </c>
      <c r="E469" t="s">
        <v>2133</v>
      </c>
      <c r="F469" t="s">
        <v>612</v>
      </c>
      <c r="G469" t="s">
        <v>613</v>
      </c>
      <c r="H469" t="s">
        <v>648</v>
      </c>
    </row>
    <row r="470" spans="1:8" x14ac:dyDescent="0.25">
      <c r="A470" t="s">
        <v>2134</v>
      </c>
      <c r="B470" t="s">
        <v>2135</v>
      </c>
      <c r="C470" t="s">
        <v>752</v>
      </c>
      <c r="D470" t="s">
        <v>2136</v>
      </c>
      <c r="F470" t="s">
        <v>612</v>
      </c>
      <c r="G470" t="s">
        <v>613</v>
      </c>
      <c r="H470" t="s">
        <v>618</v>
      </c>
    </row>
    <row r="471" spans="1:8" x14ac:dyDescent="0.25">
      <c r="A471" t="s">
        <v>2137</v>
      </c>
      <c r="B471" t="s">
        <v>2138</v>
      </c>
      <c r="C471" t="s">
        <v>67</v>
      </c>
      <c r="D471" t="s">
        <v>2139</v>
      </c>
      <c r="E471" t="s">
        <v>2140</v>
      </c>
      <c r="F471" t="s">
        <v>612</v>
      </c>
      <c r="G471" t="s">
        <v>613</v>
      </c>
      <c r="H471" t="s">
        <v>618</v>
      </c>
    </row>
    <row r="472" spans="1:8" x14ac:dyDescent="0.25">
      <c r="A472" t="s">
        <v>2141</v>
      </c>
      <c r="B472" t="s">
        <v>2142</v>
      </c>
      <c r="C472" t="s">
        <v>1753</v>
      </c>
      <c r="D472" t="s">
        <v>2143</v>
      </c>
      <c r="E472" t="s">
        <v>2144</v>
      </c>
      <c r="F472" t="s">
        <v>612</v>
      </c>
      <c r="G472" t="s">
        <v>613</v>
      </c>
      <c r="H472" t="s">
        <v>655</v>
      </c>
    </row>
    <row r="473" spans="1:8" x14ac:dyDescent="0.25">
      <c r="A473" t="s">
        <v>2145</v>
      </c>
      <c r="B473" t="s">
        <v>2146</v>
      </c>
      <c r="C473" t="s">
        <v>1190</v>
      </c>
      <c r="D473" t="s">
        <v>2147</v>
      </c>
      <c r="E473" t="s">
        <v>2148</v>
      </c>
      <c r="F473" t="s">
        <v>612</v>
      </c>
      <c r="G473" t="s">
        <v>613</v>
      </c>
      <c r="H473" t="s">
        <v>1193</v>
      </c>
    </row>
    <row r="474" spans="1:8" x14ac:dyDescent="0.25">
      <c r="A474" t="s">
        <v>2149</v>
      </c>
      <c r="B474" t="s">
        <v>2150</v>
      </c>
      <c r="C474" t="s">
        <v>102</v>
      </c>
      <c r="D474" t="s">
        <v>2151</v>
      </c>
      <c r="E474" t="s">
        <v>2152</v>
      </c>
      <c r="F474" t="s">
        <v>612</v>
      </c>
      <c r="G474" t="s">
        <v>613</v>
      </c>
      <c r="H474" t="s">
        <v>655</v>
      </c>
    </row>
    <row r="475" spans="1:8" x14ac:dyDescent="0.25">
      <c r="A475" t="s">
        <v>2153</v>
      </c>
      <c r="B475" t="s">
        <v>2154</v>
      </c>
      <c r="C475" t="s">
        <v>168</v>
      </c>
      <c r="D475" t="s">
        <v>2155</v>
      </c>
      <c r="E475" t="s">
        <v>2156</v>
      </c>
      <c r="F475" t="s">
        <v>612</v>
      </c>
      <c r="G475" t="s">
        <v>613</v>
      </c>
      <c r="H475" t="s">
        <v>655</v>
      </c>
    </row>
    <row r="476" spans="1:8" x14ac:dyDescent="0.25">
      <c r="A476" t="s">
        <v>2157</v>
      </c>
      <c r="B476" t="s">
        <v>2158</v>
      </c>
      <c r="C476" t="s">
        <v>626</v>
      </c>
      <c r="D476" t="s">
        <v>2159</v>
      </c>
      <c r="E476" t="s">
        <v>2160</v>
      </c>
      <c r="F476" t="s">
        <v>612</v>
      </c>
      <c r="G476" t="s">
        <v>613</v>
      </c>
      <c r="H476" t="s">
        <v>628</v>
      </c>
    </row>
    <row r="477" spans="1:8" x14ac:dyDescent="0.25">
      <c r="A477" t="s">
        <v>41</v>
      </c>
      <c r="B477" t="s">
        <v>2161</v>
      </c>
      <c r="C477" t="s">
        <v>840</v>
      </c>
      <c r="D477" t="s">
        <v>823</v>
      </c>
      <c r="E477" t="s">
        <v>2162</v>
      </c>
      <c r="F477" t="s">
        <v>612</v>
      </c>
      <c r="G477" t="s">
        <v>613</v>
      </c>
      <c r="H477" t="s">
        <v>618</v>
      </c>
    </row>
    <row r="478" spans="1:8" x14ac:dyDescent="0.25">
      <c r="A478" t="s">
        <v>2163</v>
      </c>
      <c r="B478" t="s">
        <v>2164</v>
      </c>
      <c r="C478" t="s">
        <v>640</v>
      </c>
      <c r="D478" t="s">
        <v>2165</v>
      </c>
      <c r="F478" t="s">
        <v>612</v>
      </c>
      <c r="G478" t="s">
        <v>613</v>
      </c>
      <c r="H478" t="s">
        <v>618</v>
      </c>
    </row>
    <row r="479" spans="1:8" x14ac:dyDescent="0.25">
      <c r="A479" t="s">
        <v>528</v>
      </c>
      <c r="B479" t="s">
        <v>2166</v>
      </c>
      <c r="C479" t="s">
        <v>616</v>
      </c>
      <c r="D479" t="s">
        <v>2167</v>
      </c>
      <c r="E479" t="s">
        <v>2168</v>
      </c>
      <c r="F479" t="s">
        <v>612</v>
      </c>
      <c r="G479" t="s">
        <v>613</v>
      </c>
      <c r="H479" t="s">
        <v>618</v>
      </c>
    </row>
    <row r="480" spans="1:8" x14ac:dyDescent="0.25">
      <c r="A480" t="s">
        <v>2169</v>
      </c>
      <c r="B480" t="s">
        <v>2170</v>
      </c>
      <c r="C480" t="s">
        <v>616</v>
      </c>
      <c r="D480" t="s">
        <v>2171</v>
      </c>
      <c r="F480" t="s">
        <v>612</v>
      </c>
      <c r="G480" t="s">
        <v>613</v>
      </c>
      <c r="H480" t="s">
        <v>618</v>
      </c>
    </row>
    <row r="481" spans="1:8" x14ac:dyDescent="0.25">
      <c r="A481" t="s">
        <v>2172</v>
      </c>
      <c r="B481" t="s">
        <v>2173</v>
      </c>
      <c r="C481" t="s">
        <v>616</v>
      </c>
      <c r="D481" t="s">
        <v>2171</v>
      </c>
      <c r="F481" t="s">
        <v>612</v>
      </c>
      <c r="G481" t="s">
        <v>613</v>
      </c>
      <c r="H481" t="s">
        <v>618</v>
      </c>
    </row>
    <row r="482" spans="1:8" x14ac:dyDescent="0.25">
      <c r="A482" t="s">
        <v>506</v>
      </c>
      <c r="B482" t="s">
        <v>2174</v>
      </c>
      <c r="C482" t="s">
        <v>616</v>
      </c>
      <c r="D482" t="s">
        <v>2175</v>
      </c>
      <c r="E482" t="s">
        <v>2176</v>
      </c>
      <c r="F482" t="s">
        <v>612</v>
      </c>
      <c r="G482" t="s">
        <v>613</v>
      </c>
      <c r="H482" t="s">
        <v>618</v>
      </c>
    </row>
    <row r="483" spans="1:8" x14ac:dyDescent="0.25">
      <c r="A483" t="s">
        <v>2177</v>
      </c>
      <c r="B483" t="s">
        <v>2178</v>
      </c>
      <c r="C483" t="s">
        <v>700</v>
      </c>
      <c r="D483" t="s">
        <v>1130</v>
      </c>
      <c r="F483" t="s">
        <v>612</v>
      </c>
      <c r="G483" t="s">
        <v>613</v>
      </c>
      <c r="H483" t="s">
        <v>618</v>
      </c>
    </row>
    <row r="484" spans="1:8" x14ac:dyDescent="0.25">
      <c r="A484" t="s">
        <v>241</v>
      </c>
      <c r="B484" t="s">
        <v>2179</v>
      </c>
      <c r="C484" t="s">
        <v>86</v>
      </c>
      <c r="D484" t="s">
        <v>2180</v>
      </c>
      <c r="E484" t="s">
        <v>2181</v>
      </c>
      <c r="F484" t="s">
        <v>612</v>
      </c>
      <c r="G484" t="s">
        <v>613</v>
      </c>
      <c r="H484" t="s">
        <v>634</v>
      </c>
    </row>
    <row r="485" spans="1:8" x14ac:dyDescent="0.25">
      <c r="A485" t="s">
        <v>106</v>
      </c>
      <c r="B485" t="s">
        <v>2182</v>
      </c>
      <c r="C485" t="s">
        <v>661</v>
      </c>
      <c r="D485" t="s">
        <v>2183</v>
      </c>
      <c r="E485" t="s">
        <v>2184</v>
      </c>
      <c r="F485" t="s">
        <v>612</v>
      </c>
      <c r="G485" t="s">
        <v>613</v>
      </c>
      <c r="H485" t="s">
        <v>634</v>
      </c>
    </row>
    <row r="486" spans="1:8" x14ac:dyDescent="0.25">
      <c r="A486" t="s">
        <v>2185</v>
      </c>
      <c r="B486" t="s">
        <v>2186</v>
      </c>
      <c r="C486" t="s">
        <v>752</v>
      </c>
      <c r="D486" t="s">
        <v>958</v>
      </c>
      <c r="E486" t="s">
        <v>2187</v>
      </c>
      <c r="F486" t="s">
        <v>612</v>
      </c>
      <c r="G486" t="s">
        <v>613</v>
      </c>
      <c r="H486" t="s">
        <v>618</v>
      </c>
    </row>
    <row r="487" spans="1:8" x14ac:dyDescent="0.25">
      <c r="A487" t="s">
        <v>2188</v>
      </c>
      <c r="B487" t="s">
        <v>2189</v>
      </c>
      <c r="C487" t="s">
        <v>749</v>
      </c>
      <c r="D487" t="s">
        <v>2190</v>
      </c>
      <c r="E487" t="s">
        <v>2191</v>
      </c>
      <c r="F487" t="s">
        <v>612</v>
      </c>
      <c r="G487" t="s">
        <v>613</v>
      </c>
      <c r="H487" t="s">
        <v>618</v>
      </c>
    </row>
    <row r="488" spans="1:8" x14ac:dyDescent="0.25">
      <c r="A488" t="s">
        <v>2192</v>
      </c>
      <c r="B488" t="s">
        <v>2193</v>
      </c>
      <c r="C488" t="s">
        <v>102</v>
      </c>
      <c r="D488" t="s">
        <v>2194</v>
      </c>
      <c r="E488" t="s">
        <v>2195</v>
      </c>
      <c r="F488" t="s">
        <v>612</v>
      </c>
      <c r="G488" t="s">
        <v>613</v>
      </c>
      <c r="H488" t="s">
        <v>655</v>
      </c>
    </row>
    <row r="489" spans="1:8" x14ac:dyDescent="0.25">
      <c r="A489" t="s">
        <v>2196</v>
      </c>
      <c r="B489" t="s">
        <v>2197</v>
      </c>
      <c r="C489" t="s">
        <v>2198</v>
      </c>
      <c r="D489" t="s">
        <v>2199</v>
      </c>
      <c r="F489" t="s">
        <v>612</v>
      </c>
      <c r="G489" t="s">
        <v>613</v>
      </c>
      <c r="H489" t="s">
        <v>892</v>
      </c>
    </row>
    <row r="490" spans="1:8" x14ac:dyDescent="0.25">
      <c r="A490" t="s">
        <v>2200</v>
      </c>
      <c r="B490" t="s">
        <v>2201</v>
      </c>
      <c r="C490" t="s">
        <v>1953</v>
      </c>
      <c r="D490" t="s">
        <v>2202</v>
      </c>
      <c r="E490" t="s">
        <v>2203</v>
      </c>
      <c r="F490" t="s">
        <v>612</v>
      </c>
      <c r="G490" t="s">
        <v>613</v>
      </c>
      <c r="H490" t="s">
        <v>681</v>
      </c>
    </row>
    <row r="491" spans="1:8" x14ac:dyDescent="0.25">
      <c r="A491" t="s">
        <v>352</v>
      </c>
      <c r="B491" t="s">
        <v>2204</v>
      </c>
      <c r="C491" t="s">
        <v>768</v>
      </c>
      <c r="D491" t="s">
        <v>769</v>
      </c>
      <c r="E491" t="s">
        <v>2205</v>
      </c>
      <c r="F491" t="s">
        <v>612</v>
      </c>
      <c r="G491" t="s">
        <v>613</v>
      </c>
      <c r="H491" t="s">
        <v>655</v>
      </c>
    </row>
    <row r="492" spans="1:8" x14ac:dyDescent="0.25">
      <c r="A492" t="s">
        <v>2206</v>
      </c>
      <c r="B492" t="s">
        <v>2207</v>
      </c>
      <c r="C492" t="s">
        <v>749</v>
      </c>
      <c r="D492" t="s">
        <v>2208</v>
      </c>
      <c r="F492" t="s">
        <v>612</v>
      </c>
      <c r="G492" t="s">
        <v>613</v>
      </c>
      <c r="H492" t="s">
        <v>618</v>
      </c>
    </row>
    <row r="493" spans="1:8" x14ac:dyDescent="0.25">
      <c r="A493" t="s">
        <v>2209</v>
      </c>
      <c r="B493" t="s">
        <v>2210</v>
      </c>
      <c r="C493" t="s">
        <v>2211</v>
      </c>
      <c r="D493" t="s">
        <v>2212</v>
      </c>
      <c r="E493" t="s">
        <v>2213</v>
      </c>
      <c r="F493" t="s">
        <v>612</v>
      </c>
      <c r="G493" t="s">
        <v>613</v>
      </c>
      <c r="H493" t="s">
        <v>648</v>
      </c>
    </row>
    <row r="494" spans="1:8" x14ac:dyDescent="0.25">
      <c r="A494" t="s">
        <v>2214</v>
      </c>
      <c r="B494" t="s">
        <v>2215</v>
      </c>
      <c r="C494" t="s">
        <v>67</v>
      </c>
      <c r="D494" t="s">
        <v>1620</v>
      </c>
      <c r="E494" t="s">
        <v>2216</v>
      </c>
      <c r="F494" t="s">
        <v>612</v>
      </c>
      <c r="G494" t="s">
        <v>613</v>
      </c>
      <c r="H494" t="s">
        <v>655</v>
      </c>
    </row>
    <row r="495" spans="1:8" x14ac:dyDescent="0.25">
      <c r="A495" t="s">
        <v>2217</v>
      </c>
      <c r="B495" t="s">
        <v>2218</v>
      </c>
      <c r="C495" t="s">
        <v>640</v>
      </c>
      <c r="D495" t="s">
        <v>2219</v>
      </c>
      <c r="E495" t="s">
        <v>2220</v>
      </c>
      <c r="F495" t="s">
        <v>612</v>
      </c>
      <c r="G495" t="s">
        <v>613</v>
      </c>
      <c r="H495" t="s">
        <v>618</v>
      </c>
    </row>
    <row r="496" spans="1:8" x14ac:dyDescent="0.25">
      <c r="A496" t="s">
        <v>2221</v>
      </c>
      <c r="B496" t="s">
        <v>2222</v>
      </c>
      <c r="C496" t="s">
        <v>749</v>
      </c>
      <c r="D496" t="s">
        <v>850</v>
      </c>
      <c r="E496" t="s">
        <v>2223</v>
      </c>
      <c r="F496" t="s">
        <v>612</v>
      </c>
      <c r="G496" t="s">
        <v>613</v>
      </c>
    </row>
    <row r="497" spans="1:8" x14ac:dyDescent="0.25">
      <c r="A497" t="s">
        <v>572</v>
      </c>
      <c r="B497" t="s">
        <v>2224</v>
      </c>
      <c r="C497" t="s">
        <v>640</v>
      </c>
      <c r="D497" t="s">
        <v>2225</v>
      </c>
      <c r="E497" t="s">
        <v>2226</v>
      </c>
      <c r="F497" t="s">
        <v>612</v>
      </c>
      <c r="G497" t="s">
        <v>613</v>
      </c>
      <c r="H497" t="s">
        <v>618</v>
      </c>
    </row>
    <row r="498" spans="1:8" x14ac:dyDescent="0.25">
      <c r="A498" t="s">
        <v>2227</v>
      </c>
      <c r="B498" t="s">
        <v>2228</v>
      </c>
      <c r="C498" t="s">
        <v>1434</v>
      </c>
      <c r="D498" t="s">
        <v>2229</v>
      </c>
      <c r="E498" t="s">
        <v>2230</v>
      </c>
      <c r="F498" t="s">
        <v>612</v>
      </c>
      <c r="G498" t="s">
        <v>613</v>
      </c>
      <c r="H498" t="s">
        <v>648</v>
      </c>
    </row>
    <row r="499" spans="1:8" x14ac:dyDescent="0.25">
      <c r="A499" t="s">
        <v>2231</v>
      </c>
      <c r="B499" t="s">
        <v>2232</v>
      </c>
      <c r="C499" t="s">
        <v>631</v>
      </c>
      <c r="D499" t="s">
        <v>2233</v>
      </c>
      <c r="F499" t="s">
        <v>612</v>
      </c>
      <c r="G499" t="s">
        <v>613</v>
      </c>
      <c r="H499" t="s">
        <v>634</v>
      </c>
    </row>
    <row r="500" spans="1:8" x14ac:dyDescent="0.25">
      <c r="A500" t="s">
        <v>554</v>
      </c>
      <c r="B500" t="s">
        <v>2234</v>
      </c>
      <c r="C500" t="s">
        <v>1235</v>
      </c>
      <c r="D500" t="s">
        <v>877</v>
      </c>
      <c r="E500" t="s">
        <v>2235</v>
      </c>
      <c r="F500" t="s">
        <v>612</v>
      </c>
      <c r="G500" t="s">
        <v>613</v>
      </c>
      <c r="H500" t="s">
        <v>618</v>
      </c>
    </row>
    <row r="501" spans="1:8" x14ac:dyDescent="0.25">
      <c r="A501" t="s">
        <v>2236</v>
      </c>
      <c r="B501" t="s">
        <v>2237</v>
      </c>
      <c r="C501" t="s">
        <v>168</v>
      </c>
      <c r="D501" t="s">
        <v>2219</v>
      </c>
      <c r="E501" t="s">
        <v>2238</v>
      </c>
      <c r="F501" t="s">
        <v>612</v>
      </c>
      <c r="G501" t="s">
        <v>613</v>
      </c>
      <c r="H501" t="s">
        <v>618</v>
      </c>
    </row>
    <row r="502" spans="1:8" x14ac:dyDescent="0.25">
      <c r="A502" t="s">
        <v>2239</v>
      </c>
      <c r="B502" t="s">
        <v>2240</v>
      </c>
      <c r="C502" t="s">
        <v>86</v>
      </c>
      <c r="D502" t="s">
        <v>1500</v>
      </c>
      <c r="E502" t="s">
        <v>2241</v>
      </c>
      <c r="F502" t="s">
        <v>612</v>
      </c>
      <c r="G502" t="s">
        <v>613</v>
      </c>
      <c r="H502" t="s">
        <v>634</v>
      </c>
    </row>
    <row r="503" spans="1:8" x14ac:dyDescent="0.25">
      <c r="A503" t="s">
        <v>2242</v>
      </c>
      <c r="B503" t="s">
        <v>2243</v>
      </c>
      <c r="C503" t="s">
        <v>925</v>
      </c>
      <c r="D503" t="s">
        <v>2244</v>
      </c>
      <c r="E503" t="s">
        <v>2245</v>
      </c>
      <c r="F503" t="s">
        <v>612</v>
      </c>
      <c r="G503" t="s">
        <v>613</v>
      </c>
      <c r="H503" t="s">
        <v>618</v>
      </c>
    </row>
    <row r="504" spans="1:8" x14ac:dyDescent="0.25">
      <c r="A504" t="s">
        <v>2250</v>
      </c>
      <c r="B504" t="s">
        <v>2251</v>
      </c>
      <c r="C504" t="s">
        <v>631</v>
      </c>
      <c r="D504" t="s">
        <v>1046</v>
      </c>
      <c r="E504" t="s">
        <v>2252</v>
      </c>
      <c r="F504" t="s">
        <v>612</v>
      </c>
      <c r="G504" t="s">
        <v>613</v>
      </c>
      <c r="H504" t="s">
        <v>634</v>
      </c>
    </row>
    <row r="505" spans="1:8" x14ac:dyDescent="0.25">
      <c r="A505" t="s">
        <v>2253</v>
      </c>
      <c r="B505" t="s">
        <v>2254</v>
      </c>
      <c r="C505" t="s">
        <v>744</v>
      </c>
      <c r="D505" t="s">
        <v>1294</v>
      </c>
      <c r="E505" t="s">
        <v>2255</v>
      </c>
      <c r="F505" t="s">
        <v>612</v>
      </c>
      <c r="G505" t="s">
        <v>613</v>
      </c>
      <c r="H505" t="s">
        <v>618</v>
      </c>
    </row>
    <row r="506" spans="1:8" x14ac:dyDescent="0.25">
      <c r="A506" t="s">
        <v>57</v>
      </c>
      <c r="B506" t="s">
        <v>2256</v>
      </c>
      <c r="C506" t="s">
        <v>1190</v>
      </c>
      <c r="D506" t="s">
        <v>1604</v>
      </c>
      <c r="E506" t="s">
        <v>2257</v>
      </c>
      <c r="F506" t="s">
        <v>612</v>
      </c>
      <c r="G506" t="s">
        <v>613</v>
      </c>
      <c r="H506" t="s">
        <v>1193</v>
      </c>
    </row>
    <row r="507" spans="1:8" x14ac:dyDescent="0.25">
      <c r="A507" t="s">
        <v>2258</v>
      </c>
      <c r="B507" t="s">
        <v>2259</v>
      </c>
      <c r="C507" t="s">
        <v>168</v>
      </c>
      <c r="D507" t="s">
        <v>2260</v>
      </c>
      <c r="E507" t="s">
        <v>2261</v>
      </c>
      <c r="F507" t="s">
        <v>612</v>
      </c>
      <c r="G507" t="s">
        <v>613</v>
      </c>
      <c r="H507" t="s">
        <v>655</v>
      </c>
    </row>
    <row r="508" spans="1:8" x14ac:dyDescent="0.25">
      <c r="A508" t="s">
        <v>477</v>
      </c>
      <c r="B508" t="s">
        <v>2262</v>
      </c>
      <c r="C508" t="s">
        <v>1235</v>
      </c>
      <c r="D508" t="s">
        <v>977</v>
      </c>
      <c r="E508" t="s">
        <v>2263</v>
      </c>
      <c r="F508" t="s">
        <v>612</v>
      </c>
      <c r="G508" t="s">
        <v>613</v>
      </c>
      <c r="H508" t="s">
        <v>618</v>
      </c>
    </row>
    <row r="509" spans="1:8" x14ac:dyDescent="0.25">
      <c r="A509" t="s">
        <v>277</v>
      </c>
      <c r="B509" t="s">
        <v>2264</v>
      </c>
      <c r="C509" t="s">
        <v>661</v>
      </c>
      <c r="D509" t="s">
        <v>2265</v>
      </c>
      <c r="F509" t="s">
        <v>612</v>
      </c>
      <c r="G509" t="s">
        <v>613</v>
      </c>
      <c r="H509" t="s">
        <v>634</v>
      </c>
    </row>
    <row r="510" spans="1:8" x14ac:dyDescent="0.25">
      <c r="A510" t="s">
        <v>547</v>
      </c>
      <c r="B510" t="s">
        <v>2266</v>
      </c>
      <c r="C510" t="s">
        <v>640</v>
      </c>
      <c r="D510" t="s">
        <v>617</v>
      </c>
      <c r="E510" t="s">
        <v>2267</v>
      </c>
      <c r="F510" t="s">
        <v>612</v>
      </c>
      <c r="G510" t="s">
        <v>613</v>
      </c>
      <c r="H510" t="s">
        <v>618</v>
      </c>
    </row>
    <row r="511" spans="1:8" x14ac:dyDescent="0.25">
      <c r="A511" t="s">
        <v>546</v>
      </c>
      <c r="B511" t="s">
        <v>2268</v>
      </c>
      <c r="C511" t="s">
        <v>640</v>
      </c>
      <c r="D511" t="s">
        <v>617</v>
      </c>
      <c r="F511" t="s">
        <v>612</v>
      </c>
      <c r="G511" t="s">
        <v>613</v>
      </c>
      <c r="H511" t="s">
        <v>618</v>
      </c>
    </row>
    <row r="512" spans="1:8" x14ac:dyDescent="0.25">
      <c r="A512" t="s">
        <v>2269</v>
      </c>
      <c r="B512" t="s">
        <v>2270</v>
      </c>
      <c r="C512" t="s">
        <v>173</v>
      </c>
      <c r="D512" t="s">
        <v>2271</v>
      </c>
      <c r="E512" t="s">
        <v>2272</v>
      </c>
      <c r="F512" t="s">
        <v>612</v>
      </c>
      <c r="G512" t="s">
        <v>613</v>
      </c>
      <c r="H512" t="s">
        <v>628</v>
      </c>
    </row>
    <row r="513" spans="1:8" x14ac:dyDescent="0.25">
      <c r="A513" t="s">
        <v>575</v>
      </c>
      <c r="B513" t="s">
        <v>2273</v>
      </c>
      <c r="C513" t="s">
        <v>640</v>
      </c>
      <c r="D513" t="s">
        <v>2274</v>
      </c>
      <c r="F513" t="s">
        <v>612</v>
      </c>
      <c r="G513" t="s">
        <v>613</v>
      </c>
      <c r="H513" t="s">
        <v>618</v>
      </c>
    </row>
    <row r="514" spans="1:8" x14ac:dyDescent="0.25">
      <c r="A514" t="s">
        <v>2275</v>
      </c>
      <c r="B514" t="s">
        <v>2276</v>
      </c>
      <c r="C514" t="s">
        <v>989</v>
      </c>
      <c r="D514" t="s">
        <v>791</v>
      </c>
      <c r="E514" t="s">
        <v>2277</v>
      </c>
      <c r="F514" t="s">
        <v>612</v>
      </c>
      <c r="G514" t="s">
        <v>613</v>
      </c>
      <c r="H514" t="s">
        <v>648</v>
      </c>
    </row>
    <row r="515" spans="1:8" x14ac:dyDescent="0.25">
      <c r="A515" t="s">
        <v>574</v>
      </c>
      <c r="B515" t="s">
        <v>2278</v>
      </c>
      <c r="C515" t="s">
        <v>700</v>
      </c>
      <c r="D515" t="s">
        <v>1825</v>
      </c>
      <c r="F515" t="s">
        <v>612</v>
      </c>
      <c r="G515" t="s">
        <v>613</v>
      </c>
      <c r="H515" t="s">
        <v>618</v>
      </c>
    </row>
    <row r="516" spans="1:8" x14ac:dyDescent="0.25">
      <c r="A516" t="s">
        <v>2279</v>
      </c>
      <c r="B516" t="s">
        <v>2280</v>
      </c>
      <c r="C516" t="s">
        <v>752</v>
      </c>
      <c r="D516" t="s">
        <v>1620</v>
      </c>
      <c r="E516" t="s">
        <v>2281</v>
      </c>
      <c r="F516" t="s">
        <v>612</v>
      </c>
      <c r="G516" t="s">
        <v>613</v>
      </c>
      <c r="H516" t="s">
        <v>618</v>
      </c>
    </row>
    <row r="517" spans="1:8" x14ac:dyDescent="0.25">
      <c r="A517" t="s">
        <v>573</v>
      </c>
      <c r="B517" t="s">
        <v>2282</v>
      </c>
      <c r="C517" t="s">
        <v>640</v>
      </c>
      <c r="D517" t="s">
        <v>1227</v>
      </c>
      <c r="F517" t="s">
        <v>612</v>
      </c>
      <c r="G517" t="s">
        <v>613</v>
      </c>
      <c r="H517" t="s">
        <v>618</v>
      </c>
    </row>
    <row r="518" spans="1:8" x14ac:dyDescent="0.25">
      <c r="A518" t="s">
        <v>21</v>
      </c>
      <c r="B518" t="s">
        <v>2283</v>
      </c>
      <c r="C518" t="s">
        <v>744</v>
      </c>
      <c r="D518" t="s">
        <v>2274</v>
      </c>
      <c r="F518" t="s">
        <v>612</v>
      </c>
      <c r="G518" t="s">
        <v>613</v>
      </c>
      <c r="H518" t="s">
        <v>618</v>
      </c>
    </row>
    <row r="519" spans="1:8" x14ac:dyDescent="0.25">
      <c r="A519" t="s">
        <v>473</v>
      </c>
      <c r="B519" t="s">
        <v>2284</v>
      </c>
      <c r="C519" t="s">
        <v>749</v>
      </c>
      <c r="D519" t="s">
        <v>1517</v>
      </c>
      <c r="F519" t="s">
        <v>612</v>
      </c>
      <c r="G519" t="s">
        <v>613</v>
      </c>
      <c r="H519" t="s">
        <v>618</v>
      </c>
    </row>
    <row r="520" spans="1:8" x14ac:dyDescent="0.25">
      <c r="A520" t="s">
        <v>2285</v>
      </c>
      <c r="B520" t="s">
        <v>2286</v>
      </c>
      <c r="C520" t="s">
        <v>640</v>
      </c>
      <c r="D520" t="s">
        <v>2274</v>
      </c>
      <c r="F520" t="s">
        <v>612</v>
      </c>
      <c r="G520" t="s">
        <v>613</v>
      </c>
      <c r="H520" t="s">
        <v>618</v>
      </c>
    </row>
    <row r="521" spans="1:8" x14ac:dyDescent="0.25">
      <c r="A521" t="s">
        <v>2287</v>
      </c>
      <c r="B521" t="s">
        <v>2288</v>
      </c>
      <c r="C521" t="s">
        <v>744</v>
      </c>
      <c r="D521" t="s">
        <v>2289</v>
      </c>
      <c r="E521" t="s">
        <v>2290</v>
      </c>
      <c r="F521" t="s">
        <v>612</v>
      </c>
      <c r="G521" t="s">
        <v>613</v>
      </c>
      <c r="H521" t="s">
        <v>618</v>
      </c>
    </row>
    <row r="522" spans="1:8" x14ac:dyDescent="0.25">
      <c r="A522" t="s">
        <v>2291</v>
      </c>
      <c r="B522" t="s">
        <v>2292</v>
      </c>
      <c r="C522" t="s">
        <v>752</v>
      </c>
      <c r="D522" t="s">
        <v>2293</v>
      </c>
      <c r="F522" t="s">
        <v>612</v>
      </c>
      <c r="G522" t="s">
        <v>613</v>
      </c>
      <c r="H522" t="s">
        <v>618</v>
      </c>
    </row>
    <row r="523" spans="1:8" x14ac:dyDescent="0.25">
      <c r="A523" t="s">
        <v>339</v>
      </c>
      <c r="B523" t="s">
        <v>2294</v>
      </c>
      <c r="C523" t="s">
        <v>1849</v>
      </c>
      <c r="D523" t="s">
        <v>2295</v>
      </c>
      <c r="F523" t="s">
        <v>612</v>
      </c>
      <c r="G523" t="s">
        <v>613</v>
      </c>
      <c r="H523" t="s">
        <v>655</v>
      </c>
    </row>
    <row r="524" spans="1:8" x14ac:dyDescent="0.25">
      <c r="A524" t="s">
        <v>2296</v>
      </c>
      <c r="B524" t="s">
        <v>2297</v>
      </c>
      <c r="C524" t="s">
        <v>744</v>
      </c>
      <c r="D524" t="s">
        <v>1592</v>
      </c>
      <c r="E524" t="s">
        <v>2298</v>
      </c>
      <c r="F524" t="s">
        <v>612</v>
      </c>
      <c r="G524" t="s">
        <v>613</v>
      </c>
      <c r="H524" t="s">
        <v>618</v>
      </c>
    </row>
    <row r="525" spans="1:8" x14ac:dyDescent="0.25">
      <c r="A525" t="s">
        <v>304</v>
      </c>
      <c r="B525" t="s">
        <v>2299</v>
      </c>
      <c r="C525" t="s">
        <v>86</v>
      </c>
      <c r="D525" t="s">
        <v>2300</v>
      </c>
      <c r="F525" t="s">
        <v>612</v>
      </c>
      <c r="G525" t="s">
        <v>613</v>
      </c>
      <c r="H525" t="s">
        <v>634</v>
      </c>
    </row>
    <row r="526" spans="1:8" x14ac:dyDescent="0.25">
      <c r="A526" t="s">
        <v>2301</v>
      </c>
      <c r="B526" t="s">
        <v>2302</v>
      </c>
      <c r="C526" t="s">
        <v>640</v>
      </c>
      <c r="D526" t="s">
        <v>2303</v>
      </c>
      <c r="E526" t="s">
        <v>2304</v>
      </c>
      <c r="F526" t="s">
        <v>612</v>
      </c>
      <c r="G526" t="s">
        <v>613</v>
      </c>
      <c r="H526" t="s">
        <v>618</v>
      </c>
    </row>
    <row r="527" spans="1:8" x14ac:dyDescent="0.25">
      <c r="A527" t="s">
        <v>2305</v>
      </c>
      <c r="B527" t="s">
        <v>2306</v>
      </c>
      <c r="E527" t="s">
        <v>2307</v>
      </c>
      <c r="F527" t="s">
        <v>612</v>
      </c>
      <c r="G527" t="s">
        <v>613</v>
      </c>
      <c r="H527" t="s">
        <v>618</v>
      </c>
    </row>
    <row r="528" spans="1:8" x14ac:dyDescent="0.25">
      <c r="A528" t="s">
        <v>163</v>
      </c>
      <c r="B528" t="s">
        <v>2308</v>
      </c>
      <c r="C528" t="s">
        <v>716</v>
      </c>
      <c r="D528" t="s">
        <v>2295</v>
      </c>
      <c r="F528" t="s">
        <v>612</v>
      </c>
      <c r="G528" t="s">
        <v>613</v>
      </c>
      <c r="H528" t="s">
        <v>655</v>
      </c>
    </row>
    <row r="529" spans="1:8" x14ac:dyDescent="0.25">
      <c r="A529" t="s">
        <v>2309</v>
      </c>
      <c r="B529" t="s">
        <v>2310</v>
      </c>
      <c r="C529" t="s">
        <v>168</v>
      </c>
      <c r="D529" t="s">
        <v>952</v>
      </c>
      <c r="E529" t="s">
        <v>2311</v>
      </c>
      <c r="F529" t="s">
        <v>612</v>
      </c>
      <c r="G529" t="s">
        <v>613</v>
      </c>
      <c r="H529" t="s">
        <v>655</v>
      </c>
    </row>
    <row r="530" spans="1:8" x14ac:dyDescent="0.25">
      <c r="A530" t="s">
        <v>2312</v>
      </c>
      <c r="B530" t="s">
        <v>2313</v>
      </c>
      <c r="C530" t="s">
        <v>744</v>
      </c>
      <c r="D530" t="s">
        <v>2314</v>
      </c>
      <c r="F530" t="s">
        <v>612</v>
      </c>
      <c r="G530" t="s">
        <v>613</v>
      </c>
      <c r="H530" t="s">
        <v>618</v>
      </c>
    </row>
    <row r="531" spans="1:8" x14ac:dyDescent="0.25">
      <c r="A531" t="s">
        <v>2315</v>
      </c>
      <c r="B531" t="s">
        <v>2316</v>
      </c>
      <c r="C531" t="s">
        <v>744</v>
      </c>
      <c r="D531" t="s">
        <v>1717</v>
      </c>
      <c r="F531" t="s">
        <v>612</v>
      </c>
      <c r="G531" t="s">
        <v>613</v>
      </c>
      <c r="H531" t="s">
        <v>618</v>
      </c>
    </row>
    <row r="532" spans="1:8" x14ac:dyDescent="0.25">
      <c r="A532" t="s">
        <v>2317</v>
      </c>
      <c r="B532" t="s">
        <v>2318</v>
      </c>
      <c r="C532" t="s">
        <v>744</v>
      </c>
      <c r="D532" t="s">
        <v>2319</v>
      </c>
      <c r="E532" t="s">
        <v>2320</v>
      </c>
      <c r="F532" t="s">
        <v>612</v>
      </c>
      <c r="G532" t="s">
        <v>613</v>
      </c>
      <c r="H532" t="s">
        <v>618</v>
      </c>
    </row>
    <row r="533" spans="1:8" x14ac:dyDescent="0.25">
      <c r="A533" t="s">
        <v>2321</v>
      </c>
      <c r="B533" t="s">
        <v>2322</v>
      </c>
      <c r="C533" t="s">
        <v>749</v>
      </c>
      <c r="D533" t="s">
        <v>1825</v>
      </c>
      <c r="F533" t="s">
        <v>612</v>
      </c>
      <c r="G533" t="s">
        <v>613</v>
      </c>
      <c r="H533" t="s">
        <v>618</v>
      </c>
    </row>
    <row r="534" spans="1:8" x14ac:dyDescent="0.25">
      <c r="A534" t="s">
        <v>2323</v>
      </c>
      <c r="B534" t="s">
        <v>2324</v>
      </c>
      <c r="C534" t="s">
        <v>67</v>
      </c>
      <c r="D534" t="s">
        <v>2325</v>
      </c>
      <c r="F534" t="s">
        <v>612</v>
      </c>
      <c r="G534" t="s">
        <v>613</v>
      </c>
      <c r="H534" t="s">
        <v>655</v>
      </c>
    </row>
    <row r="535" spans="1:8" x14ac:dyDescent="0.25">
      <c r="A535" t="s">
        <v>2326</v>
      </c>
      <c r="B535" t="s">
        <v>2327</v>
      </c>
      <c r="C535" t="s">
        <v>1820</v>
      </c>
      <c r="D535" t="s">
        <v>2328</v>
      </c>
      <c r="E535" t="s">
        <v>2329</v>
      </c>
      <c r="F535" t="s">
        <v>612</v>
      </c>
      <c r="G535" t="s">
        <v>613</v>
      </c>
      <c r="H535" t="s">
        <v>648</v>
      </c>
    </row>
    <row r="536" spans="1:8" x14ac:dyDescent="0.25">
      <c r="A536" t="s">
        <v>2330</v>
      </c>
      <c r="B536" t="s">
        <v>2331</v>
      </c>
      <c r="C536" t="s">
        <v>173</v>
      </c>
      <c r="D536" t="s">
        <v>2332</v>
      </c>
      <c r="E536" t="s">
        <v>2333</v>
      </c>
      <c r="F536" t="s">
        <v>612</v>
      </c>
      <c r="G536" t="s">
        <v>613</v>
      </c>
      <c r="H536" t="s">
        <v>628</v>
      </c>
    </row>
    <row r="537" spans="1:8" x14ac:dyDescent="0.25">
      <c r="A537" t="s">
        <v>2334</v>
      </c>
      <c r="B537" t="s">
        <v>2335</v>
      </c>
      <c r="C537" t="s">
        <v>1849</v>
      </c>
      <c r="D537" t="s">
        <v>2336</v>
      </c>
      <c r="F537" t="s">
        <v>612</v>
      </c>
      <c r="G537" t="s">
        <v>613</v>
      </c>
      <c r="H537" t="s">
        <v>655</v>
      </c>
    </row>
    <row r="538" spans="1:8" x14ac:dyDescent="0.25">
      <c r="A538" t="s">
        <v>208</v>
      </c>
      <c r="B538" t="s">
        <v>2337</v>
      </c>
      <c r="C538" t="s">
        <v>67</v>
      </c>
      <c r="D538" t="s">
        <v>867</v>
      </c>
      <c r="F538" t="s">
        <v>612</v>
      </c>
      <c r="G538" t="s">
        <v>613</v>
      </c>
      <c r="H538" t="s">
        <v>655</v>
      </c>
    </row>
    <row r="539" spans="1:8" x14ac:dyDescent="0.25">
      <c r="A539" t="s">
        <v>2338</v>
      </c>
      <c r="B539" t="s">
        <v>2339</v>
      </c>
      <c r="C539" t="s">
        <v>2340</v>
      </c>
      <c r="D539" t="s">
        <v>2336</v>
      </c>
      <c r="F539" t="s">
        <v>612</v>
      </c>
      <c r="G539" t="s">
        <v>613</v>
      </c>
      <c r="H539" t="s">
        <v>655</v>
      </c>
    </row>
    <row r="540" spans="1:8" x14ac:dyDescent="0.25">
      <c r="A540" t="s">
        <v>329</v>
      </c>
      <c r="B540" t="s">
        <v>2341</v>
      </c>
      <c r="C540" t="s">
        <v>836</v>
      </c>
      <c r="D540" t="s">
        <v>2194</v>
      </c>
      <c r="E540" t="s">
        <v>2342</v>
      </c>
      <c r="F540" t="s">
        <v>612</v>
      </c>
      <c r="G540" t="s">
        <v>613</v>
      </c>
      <c r="H540" t="s">
        <v>655</v>
      </c>
    </row>
    <row r="541" spans="1:8" x14ac:dyDescent="0.25">
      <c r="A541" t="s">
        <v>63</v>
      </c>
      <c r="B541" t="s">
        <v>2343</v>
      </c>
      <c r="C541" t="s">
        <v>2344</v>
      </c>
      <c r="D541" t="s">
        <v>1041</v>
      </c>
      <c r="E541" t="s">
        <v>2345</v>
      </c>
      <c r="F541" t="s">
        <v>612</v>
      </c>
      <c r="G541" t="s">
        <v>613</v>
      </c>
      <c r="H541" t="s">
        <v>648</v>
      </c>
    </row>
    <row r="542" spans="1:8" x14ac:dyDescent="0.25">
      <c r="A542" t="s">
        <v>66</v>
      </c>
      <c r="B542" t="s">
        <v>2346</v>
      </c>
      <c r="C542" t="s">
        <v>67</v>
      </c>
      <c r="D542" t="s">
        <v>2347</v>
      </c>
      <c r="E542" t="s">
        <v>2348</v>
      </c>
      <c r="F542" t="s">
        <v>612</v>
      </c>
      <c r="G542" t="s">
        <v>613</v>
      </c>
      <c r="H542" t="s">
        <v>655</v>
      </c>
    </row>
    <row r="543" spans="1:8" x14ac:dyDescent="0.25">
      <c r="A543" t="s">
        <v>2349</v>
      </c>
      <c r="B543" t="s">
        <v>2350</v>
      </c>
      <c r="C543" t="s">
        <v>749</v>
      </c>
      <c r="D543" t="s">
        <v>833</v>
      </c>
      <c r="E543" t="s">
        <v>2351</v>
      </c>
      <c r="F543" t="s">
        <v>612</v>
      </c>
      <c r="G543" t="s">
        <v>613</v>
      </c>
      <c r="H543" t="s">
        <v>618</v>
      </c>
    </row>
    <row r="544" spans="1:8" x14ac:dyDescent="0.25">
      <c r="A544" t="s">
        <v>2352</v>
      </c>
      <c r="B544" t="s">
        <v>2353</v>
      </c>
      <c r="C544" t="s">
        <v>749</v>
      </c>
      <c r="D544" t="s">
        <v>877</v>
      </c>
      <c r="E544" t="s">
        <v>2354</v>
      </c>
      <c r="F544" t="s">
        <v>612</v>
      </c>
      <c r="G544" t="s">
        <v>613</v>
      </c>
      <c r="H544" t="s">
        <v>618</v>
      </c>
    </row>
    <row r="545" spans="1:8" x14ac:dyDescent="0.25">
      <c r="A545" t="s">
        <v>2355</v>
      </c>
      <c r="B545" t="s">
        <v>2356</v>
      </c>
      <c r="C545" t="s">
        <v>749</v>
      </c>
      <c r="D545" t="s">
        <v>833</v>
      </c>
      <c r="E545" t="s">
        <v>2357</v>
      </c>
      <c r="F545" t="s">
        <v>612</v>
      </c>
      <c r="G545" t="s">
        <v>613</v>
      </c>
      <c r="H545" t="s">
        <v>618</v>
      </c>
    </row>
    <row r="546" spans="1:8" x14ac:dyDescent="0.25">
      <c r="A546" t="s">
        <v>2358</v>
      </c>
      <c r="B546" t="s">
        <v>2359</v>
      </c>
      <c r="C546" t="s">
        <v>744</v>
      </c>
      <c r="D546" t="s">
        <v>2360</v>
      </c>
      <c r="E546" t="s">
        <v>2361</v>
      </c>
      <c r="F546" t="s">
        <v>612</v>
      </c>
      <c r="G546" t="s">
        <v>613</v>
      </c>
      <c r="H546" t="s">
        <v>618</v>
      </c>
    </row>
    <row r="547" spans="1:8" x14ac:dyDescent="0.25">
      <c r="A547" t="s">
        <v>2362</v>
      </c>
      <c r="B547" t="s">
        <v>2363</v>
      </c>
      <c r="C547" t="s">
        <v>616</v>
      </c>
      <c r="D547" t="s">
        <v>1063</v>
      </c>
      <c r="F547" t="s">
        <v>612</v>
      </c>
      <c r="G547" t="s">
        <v>613</v>
      </c>
      <c r="H547" t="s">
        <v>618</v>
      </c>
    </row>
    <row r="548" spans="1:8" x14ac:dyDescent="0.25">
      <c r="A548" t="s">
        <v>2364</v>
      </c>
      <c r="B548" t="s">
        <v>2365</v>
      </c>
      <c r="C548" t="s">
        <v>749</v>
      </c>
      <c r="D548" t="s">
        <v>2366</v>
      </c>
      <c r="E548" t="s">
        <v>2367</v>
      </c>
      <c r="F548" t="s">
        <v>612</v>
      </c>
      <c r="G548" t="s">
        <v>613</v>
      </c>
      <c r="H548" t="s">
        <v>618</v>
      </c>
    </row>
    <row r="549" spans="1:8" x14ac:dyDescent="0.25">
      <c r="A549" t="s">
        <v>2368</v>
      </c>
      <c r="B549" t="s">
        <v>2369</v>
      </c>
      <c r="C549" t="s">
        <v>700</v>
      </c>
      <c r="D549" t="s">
        <v>1245</v>
      </c>
      <c r="E549" t="s">
        <v>2367</v>
      </c>
      <c r="F549" t="s">
        <v>612</v>
      </c>
      <c r="G549" t="s">
        <v>613</v>
      </c>
      <c r="H549" t="s">
        <v>618</v>
      </c>
    </row>
    <row r="550" spans="1:8" x14ac:dyDescent="0.25">
      <c r="A550" t="s">
        <v>443</v>
      </c>
      <c r="B550" t="s">
        <v>2370</v>
      </c>
      <c r="C550" t="s">
        <v>752</v>
      </c>
      <c r="D550" t="s">
        <v>2371</v>
      </c>
      <c r="E550" t="s">
        <v>2372</v>
      </c>
      <c r="F550" t="s">
        <v>612</v>
      </c>
      <c r="G550" t="s">
        <v>613</v>
      </c>
      <c r="H550" t="s">
        <v>618</v>
      </c>
    </row>
    <row r="551" spans="1:8" x14ac:dyDescent="0.25">
      <c r="A551" t="s">
        <v>2373</v>
      </c>
      <c r="B551" t="s">
        <v>2374</v>
      </c>
      <c r="C551" t="s">
        <v>752</v>
      </c>
      <c r="D551" t="s">
        <v>1870</v>
      </c>
      <c r="E551" t="s">
        <v>2375</v>
      </c>
      <c r="F551" t="s">
        <v>612</v>
      </c>
      <c r="G551" t="s">
        <v>613</v>
      </c>
      <c r="H551" t="s">
        <v>618</v>
      </c>
    </row>
    <row r="552" spans="1:8" x14ac:dyDescent="0.25">
      <c r="A552" t="s">
        <v>118</v>
      </c>
      <c r="B552" t="s">
        <v>2376</v>
      </c>
      <c r="C552" t="s">
        <v>1849</v>
      </c>
      <c r="D552" t="s">
        <v>2336</v>
      </c>
      <c r="F552" t="s">
        <v>612</v>
      </c>
      <c r="G552" t="s">
        <v>613</v>
      </c>
      <c r="H552" t="s">
        <v>655</v>
      </c>
    </row>
    <row r="553" spans="1:8" x14ac:dyDescent="0.25">
      <c r="A553" t="s">
        <v>100</v>
      </c>
      <c r="B553" t="s">
        <v>2377</v>
      </c>
      <c r="C553" t="s">
        <v>2019</v>
      </c>
      <c r="D553" t="s">
        <v>2378</v>
      </c>
      <c r="E553" t="s">
        <v>2379</v>
      </c>
      <c r="F553" t="s">
        <v>612</v>
      </c>
      <c r="G553" t="s">
        <v>613</v>
      </c>
      <c r="H553" t="s">
        <v>634</v>
      </c>
    </row>
    <row r="554" spans="1:8" x14ac:dyDescent="0.25">
      <c r="A554" t="s">
        <v>2380</v>
      </c>
      <c r="B554" t="s">
        <v>2381</v>
      </c>
      <c r="C554" t="s">
        <v>168</v>
      </c>
      <c r="D554" t="s">
        <v>1865</v>
      </c>
      <c r="F554" t="s">
        <v>612</v>
      </c>
      <c r="G554" t="s">
        <v>613</v>
      </c>
      <c r="H554" t="s">
        <v>655</v>
      </c>
    </row>
    <row r="555" spans="1:8" x14ac:dyDescent="0.25">
      <c r="A555" t="s">
        <v>373</v>
      </c>
      <c r="B555" t="s">
        <v>2382</v>
      </c>
      <c r="C555" t="s">
        <v>814</v>
      </c>
      <c r="D555" t="s">
        <v>2383</v>
      </c>
      <c r="E555" t="s">
        <v>2384</v>
      </c>
      <c r="F555" t="s">
        <v>612</v>
      </c>
      <c r="G555" t="s">
        <v>613</v>
      </c>
      <c r="H555" t="s">
        <v>618</v>
      </c>
    </row>
    <row r="556" spans="1:8" x14ac:dyDescent="0.25">
      <c r="A556" t="s">
        <v>498</v>
      </c>
      <c r="B556" t="s">
        <v>2385</v>
      </c>
      <c r="C556" t="s">
        <v>1072</v>
      </c>
      <c r="D556" t="s">
        <v>2366</v>
      </c>
      <c r="E556" t="s">
        <v>2386</v>
      </c>
      <c r="F556" t="s">
        <v>612</v>
      </c>
      <c r="G556" t="s">
        <v>613</v>
      </c>
      <c r="H556" t="s">
        <v>618</v>
      </c>
    </row>
    <row r="557" spans="1:8" x14ac:dyDescent="0.25">
      <c r="A557" t="s">
        <v>314</v>
      </c>
      <c r="B557" t="s">
        <v>2387</v>
      </c>
      <c r="C557" t="s">
        <v>918</v>
      </c>
      <c r="D557" t="s">
        <v>2388</v>
      </c>
      <c r="F557" t="s">
        <v>612</v>
      </c>
      <c r="G557" t="s">
        <v>613</v>
      </c>
      <c r="H557" t="s">
        <v>648</v>
      </c>
    </row>
    <row r="558" spans="1:8" x14ac:dyDescent="0.25">
      <c r="A558" t="s">
        <v>2389</v>
      </c>
      <c r="B558" t="s">
        <v>2390</v>
      </c>
      <c r="C558" t="s">
        <v>631</v>
      </c>
      <c r="D558" t="s">
        <v>2391</v>
      </c>
      <c r="E558" t="s">
        <v>2392</v>
      </c>
      <c r="F558" t="s">
        <v>612</v>
      </c>
      <c r="G558" t="s">
        <v>613</v>
      </c>
      <c r="H558" t="s">
        <v>634</v>
      </c>
    </row>
    <row r="559" spans="1:8" x14ac:dyDescent="0.25">
      <c r="A559" t="s">
        <v>2393</v>
      </c>
      <c r="B559" t="s">
        <v>2394</v>
      </c>
      <c r="C559" t="s">
        <v>752</v>
      </c>
      <c r="D559" t="s">
        <v>2395</v>
      </c>
      <c r="E559" t="s">
        <v>2396</v>
      </c>
      <c r="F559" t="s">
        <v>612</v>
      </c>
      <c r="G559" t="s">
        <v>613</v>
      </c>
      <c r="H559" t="s">
        <v>618</v>
      </c>
    </row>
    <row r="560" spans="1:8" x14ac:dyDescent="0.25">
      <c r="A560" t="s">
        <v>2397</v>
      </c>
      <c r="B560" t="s">
        <v>2398</v>
      </c>
      <c r="C560" t="s">
        <v>2399</v>
      </c>
      <c r="D560" t="s">
        <v>2400</v>
      </c>
      <c r="E560" t="s">
        <v>2401</v>
      </c>
      <c r="F560" t="s">
        <v>612</v>
      </c>
      <c r="G560" t="s">
        <v>613</v>
      </c>
      <c r="H560" t="s">
        <v>681</v>
      </c>
    </row>
    <row r="561" spans="1:8" x14ac:dyDescent="0.25">
      <c r="A561" t="s">
        <v>279</v>
      </c>
      <c r="B561" t="s">
        <v>2402</v>
      </c>
      <c r="C561" t="s">
        <v>2403</v>
      </c>
      <c r="D561" t="s">
        <v>2404</v>
      </c>
      <c r="E561" t="s">
        <v>2405</v>
      </c>
      <c r="F561" t="s">
        <v>612</v>
      </c>
      <c r="G561" t="s">
        <v>613</v>
      </c>
      <c r="H561" t="s">
        <v>648</v>
      </c>
    </row>
    <row r="562" spans="1:8" x14ac:dyDescent="0.25">
      <c r="A562" t="s">
        <v>2406</v>
      </c>
      <c r="B562" t="s">
        <v>2407</v>
      </c>
      <c r="C562" t="s">
        <v>1656</v>
      </c>
      <c r="D562" t="s">
        <v>1675</v>
      </c>
      <c r="E562" t="s">
        <v>2408</v>
      </c>
      <c r="F562" t="s">
        <v>612</v>
      </c>
      <c r="G562" t="s">
        <v>613</v>
      </c>
      <c r="H562" t="s">
        <v>634</v>
      </c>
    </row>
    <row r="563" spans="1:8" x14ac:dyDescent="0.25">
      <c r="A563" t="s">
        <v>263</v>
      </c>
      <c r="B563" t="s">
        <v>2410</v>
      </c>
      <c r="C563" t="s">
        <v>67</v>
      </c>
      <c r="D563" t="s">
        <v>734</v>
      </c>
      <c r="F563" t="s">
        <v>612</v>
      </c>
      <c r="G563" t="s">
        <v>613</v>
      </c>
      <c r="H563" t="s">
        <v>655</v>
      </c>
    </row>
    <row r="564" spans="1:8" x14ac:dyDescent="0.25">
      <c r="A564" t="s">
        <v>2411</v>
      </c>
      <c r="B564" t="s">
        <v>2412</v>
      </c>
      <c r="C564" t="s">
        <v>876</v>
      </c>
      <c r="D564" t="s">
        <v>1257</v>
      </c>
      <c r="E564" t="s">
        <v>2413</v>
      </c>
      <c r="F564" t="s">
        <v>612</v>
      </c>
      <c r="G564" t="s">
        <v>613</v>
      </c>
      <c r="H564" t="s">
        <v>618</v>
      </c>
    </row>
    <row r="565" spans="1:8" x14ac:dyDescent="0.25">
      <c r="A565" t="s">
        <v>2414</v>
      </c>
      <c r="B565" t="s">
        <v>2415</v>
      </c>
      <c r="C565" t="s">
        <v>744</v>
      </c>
      <c r="D565" t="s">
        <v>1948</v>
      </c>
      <c r="F565" t="s">
        <v>612</v>
      </c>
      <c r="G565" t="s">
        <v>613</v>
      </c>
      <c r="H565" t="s">
        <v>618</v>
      </c>
    </row>
    <row r="566" spans="1:8" x14ac:dyDescent="0.25">
      <c r="A566" t="s">
        <v>2416</v>
      </c>
      <c r="B566" t="s">
        <v>2417</v>
      </c>
      <c r="C566" t="s">
        <v>700</v>
      </c>
      <c r="D566" t="s">
        <v>745</v>
      </c>
      <c r="E566" t="s">
        <v>2418</v>
      </c>
      <c r="F566" t="s">
        <v>612</v>
      </c>
      <c r="G566" t="s">
        <v>613</v>
      </c>
    </row>
    <row r="567" spans="1:8" x14ac:dyDescent="0.25">
      <c r="A567" t="s">
        <v>2419</v>
      </c>
      <c r="B567" t="s">
        <v>2420</v>
      </c>
      <c r="E567" t="s">
        <v>2421</v>
      </c>
      <c r="F567" t="s">
        <v>612</v>
      </c>
      <c r="G567" t="s">
        <v>613</v>
      </c>
      <c r="H567" t="s">
        <v>618</v>
      </c>
    </row>
    <row r="568" spans="1:8" x14ac:dyDescent="0.25">
      <c r="A568" t="s">
        <v>23</v>
      </c>
      <c r="B568" t="s">
        <v>2422</v>
      </c>
      <c r="C568" t="s">
        <v>744</v>
      </c>
      <c r="D568" t="s">
        <v>2274</v>
      </c>
      <c r="F568" t="s">
        <v>612</v>
      </c>
      <c r="G568" t="s">
        <v>613</v>
      </c>
      <c r="H568" t="s">
        <v>618</v>
      </c>
    </row>
    <row r="569" spans="1:8" x14ac:dyDescent="0.25">
      <c r="A569" t="s">
        <v>418</v>
      </c>
      <c r="B569" t="s">
        <v>2423</v>
      </c>
      <c r="C569" t="s">
        <v>2424</v>
      </c>
      <c r="D569" t="s">
        <v>2425</v>
      </c>
      <c r="E569" t="s">
        <v>2426</v>
      </c>
      <c r="F569" t="s">
        <v>612</v>
      </c>
      <c r="G569" t="s">
        <v>613</v>
      </c>
      <c r="H569" t="s">
        <v>618</v>
      </c>
    </row>
    <row r="570" spans="1:8" x14ac:dyDescent="0.25">
      <c r="A570" t="s">
        <v>2427</v>
      </c>
      <c r="B570" t="s">
        <v>2428</v>
      </c>
      <c r="C570" t="s">
        <v>678</v>
      </c>
      <c r="D570" t="s">
        <v>2429</v>
      </c>
      <c r="E570" t="s">
        <v>2430</v>
      </c>
      <c r="F570" t="s">
        <v>612</v>
      </c>
      <c r="G570" t="s">
        <v>613</v>
      </c>
      <c r="H570" t="s">
        <v>681</v>
      </c>
    </row>
    <row r="571" spans="1:8" x14ac:dyDescent="0.25">
      <c r="A571" t="s">
        <v>2431</v>
      </c>
      <c r="B571" t="s">
        <v>2432</v>
      </c>
      <c r="C571" t="s">
        <v>86</v>
      </c>
      <c r="D571" t="s">
        <v>2433</v>
      </c>
      <c r="E571" t="s">
        <v>2434</v>
      </c>
      <c r="F571" t="s">
        <v>612</v>
      </c>
      <c r="G571" t="s">
        <v>613</v>
      </c>
      <c r="H571" t="s">
        <v>634</v>
      </c>
    </row>
    <row r="572" spans="1:8" x14ac:dyDescent="0.25">
      <c r="A572" t="s">
        <v>2435</v>
      </c>
      <c r="B572" t="s">
        <v>2436</v>
      </c>
      <c r="C572" t="s">
        <v>819</v>
      </c>
      <c r="D572" t="s">
        <v>769</v>
      </c>
      <c r="E572" t="s">
        <v>2437</v>
      </c>
      <c r="F572" t="s">
        <v>612</v>
      </c>
      <c r="G572" t="s">
        <v>613</v>
      </c>
      <c r="H572" t="s">
        <v>655</v>
      </c>
    </row>
    <row r="573" spans="1:8" x14ac:dyDescent="0.25">
      <c r="A573" t="s">
        <v>2438</v>
      </c>
      <c r="B573" t="s">
        <v>2439</v>
      </c>
      <c r="C573" t="s">
        <v>980</v>
      </c>
      <c r="D573" t="s">
        <v>1972</v>
      </c>
      <c r="E573" t="s">
        <v>2440</v>
      </c>
      <c r="F573" t="s">
        <v>612</v>
      </c>
      <c r="G573" t="s">
        <v>613</v>
      </c>
      <c r="H573" t="s">
        <v>655</v>
      </c>
    </row>
    <row r="574" spans="1:8" x14ac:dyDescent="0.25">
      <c r="A574" t="s">
        <v>2441</v>
      </c>
      <c r="B574" t="s">
        <v>2442</v>
      </c>
      <c r="C574" t="s">
        <v>1368</v>
      </c>
      <c r="D574" t="s">
        <v>2443</v>
      </c>
      <c r="E574" t="s">
        <v>2444</v>
      </c>
      <c r="F574" t="s">
        <v>612</v>
      </c>
      <c r="G574" t="s">
        <v>613</v>
      </c>
      <c r="H574" t="s">
        <v>655</v>
      </c>
    </row>
    <row r="575" spans="1:8" x14ac:dyDescent="0.25">
      <c r="A575" t="s">
        <v>2445</v>
      </c>
      <c r="B575" t="s">
        <v>2446</v>
      </c>
      <c r="C575" t="s">
        <v>2447</v>
      </c>
      <c r="D575" t="s">
        <v>769</v>
      </c>
      <c r="E575" t="s">
        <v>2448</v>
      </c>
      <c r="F575" t="s">
        <v>612</v>
      </c>
      <c r="G575" t="s">
        <v>613</v>
      </c>
      <c r="H575" t="s">
        <v>634</v>
      </c>
    </row>
    <row r="576" spans="1:8" x14ac:dyDescent="0.25">
      <c r="A576" t="s">
        <v>2449</v>
      </c>
      <c r="B576" t="s">
        <v>2450</v>
      </c>
      <c r="F576" t="s">
        <v>612</v>
      </c>
      <c r="G576" t="s">
        <v>613</v>
      </c>
      <c r="H576" t="s">
        <v>655</v>
      </c>
    </row>
    <row r="577" spans="1:8" x14ac:dyDescent="0.25">
      <c r="A577" t="s">
        <v>2451</v>
      </c>
      <c r="B577" t="s">
        <v>2452</v>
      </c>
      <c r="C577" t="s">
        <v>1467</v>
      </c>
      <c r="D577" t="s">
        <v>2453</v>
      </c>
      <c r="E577" t="s">
        <v>2454</v>
      </c>
      <c r="F577" t="s">
        <v>612</v>
      </c>
      <c r="G577" t="s">
        <v>613</v>
      </c>
      <c r="H577" t="s">
        <v>681</v>
      </c>
    </row>
    <row r="578" spans="1:8" x14ac:dyDescent="0.25">
      <c r="A578" t="s">
        <v>537</v>
      </c>
      <c r="B578" t="s">
        <v>2455</v>
      </c>
      <c r="C578" t="s">
        <v>2046</v>
      </c>
      <c r="D578" t="s">
        <v>2456</v>
      </c>
      <c r="E578" t="s">
        <v>2457</v>
      </c>
      <c r="F578" t="s">
        <v>612</v>
      </c>
      <c r="G578" t="s">
        <v>613</v>
      </c>
      <c r="H578" t="s">
        <v>655</v>
      </c>
    </row>
    <row r="579" spans="1:8" x14ac:dyDescent="0.25">
      <c r="A579" t="s">
        <v>2458</v>
      </c>
      <c r="B579" t="s">
        <v>2459</v>
      </c>
      <c r="C579" t="s">
        <v>616</v>
      </c>
      <c r="D579" t="s">
        <v>1248</v>
      </c>
      <c r="F579" t="s">
        <v>612</v>
      </c>
      <c r="G579" t="s">
        <v>613</v>
      </c>
      <c r="H579" t="s">
        <v>618</v>
      </c>
    </row>
    <row r="580" spans="1:8" x14ac:dyDescent="0.25">
      <c r="A580" t="s">
        <v>2460</v>
      </c>
      <c r="B580" t="s">
        <v>2461</v>
      </c>
      <c r="C580" t="s">
        <v>749</v>
      </c>
      <c r="D580" t="s">
        <v>2219</v>
      </c>
      <c r="E580" t="s">
        <v>2462</v>
      </c>
      <c r="F580" t="s">
        <v>612</v>
      </c>
      <c r="G580" t="s">
        <v>613</v>
      </c>
      <c r="H580" t="s">
        <v>618</v>
      </c>
    </row>
    <row r="581" spans="1:8" x14ac:dyDescent="0.25">
      <c r="A581" t="s">
        <v>2463</v>
      </c>
      <c r="B581" t="s">
        <v>2464</v>
      </c>
      <c r="C581" t="s">
        <v>2465</v>
      </c>
      <c r="D581" t="s">
        <v>791</v>
      </c>
      <c r="E581" t="s">
        <v>2466</v>
      </c>
      <c r="F581" t="s">
        <v>612</v>
      </c>
      <c r="G581" t="s">
        <v>613</v>
      </c>
      <c r="H581" t="s">
        <v>618</v>
      </c>
    </row>
    <row r="582" spans="1:8" x14ac:dyDescent="0.25">
      <c r="A582" t="s">
        <v>2467</v>
      </c>
      <c r="B582" t="s">
        <v>2468</v>
      </c>
      <c r="C582" t="s">
        <v>2399</v>
      </c>
      <c r="D582" t="s">
        <v>2469</v>
      </c>
      <c r="E582" t="s">
        <v>2470</v>
      </c>
      <c r="F582" t="s">
        <v>612</v>
      </c>
      <c r="G582" t="s">
        <v>613</v>
      </c>
      <c r="H582" t="s">
        <v>681</v>
      </c>
    </row>
    <row r="583" spans="1:8" x14ac:dyDescent="0.25">
      <c r="A583" t="s">
        <v>80</v>
      </c>
      <c r="B583" t="s">
        <v>2471</v>
      </c>
      <c r="C583" t="s">
        <v>616</v>
      </c>
      <c r="D583" t="s">
        <v>2124</v>
      </c>
      <c r="E583" t="s">
        <v>2472</v>
      </c>
      <c r="F583" t="s">
        <v>612</v>
      </c>
      <c r="G583" t="s">
        <v>613</v>
      </c>
      <c r="H583" t="s">
        <v>618</v>
      </c>
    </row>
    <row r="584" spans="1:8" x14ac:dyDescent="0.25">
      <c r="A584" t="s">
        <v>305</v>
      </c>
      <c r="B584" t="s">
        <v>2473</v>
      </c>
      <c r="C584" t="s">
        <v>661</v>
      </c>
      <c r="D584" t="s">
        <v>2474</v>
      </c>
      <c r="E584" t="s">
        <v>2475</v>
      </c>
      <c r="F584" t="s">
        <v>612</v>
      </c>
      <c r="G584" t="s">
        <v>613</v>
      </c>
      <c r="H584" t="s">
        <v>634</v>
      </c>
    </row>
    <row r="585" spans="1:8" x14ac:dyDescent="0.25">
      <c r="A585" t="s">
        <v>2476</v>
      </c>
      <c r="B585" t="s">
        <v>2477</v>
      </c>
      <c r="C585" t="s">
        <v>86</v>
      </c>
      <c r="D585" t="s">
        <v>2159</v>
      </c>
      <c r="E585" t="s">
        <v>2478</v>
      </c>
      <c r="F585" t="s">
        <v>612</v>
      </c>
      <c r="G585" t="s">
        <v>613</v>
      </c>
      <c r="H585" t="s">
        <v>634</v>
      </c>
    </row>
    <row r="586" spans="1:8" x14ac:dyDescent="0.25">
      <c r="A586" t="s">
        <v>2479</v>
      </c>
      <c r="B586" t="s">
        <v>2480</v>
      </c>
      <c r="C586" t="s">
        <v>744</v>
      </c>
      <c r="D586" t="s">
        <v>1130</v>
      </c>
      <c r="F586" t="s">
        <v>612</v>
      </c>
      <c r="G586" t="s">
        <v>613</v>
      </c>
      <c r="H586" t="s">
        <v>618</v>
      </c>
    </row>
    <row r="587" spans="1:8" x14ac:dyDescent="0.25">
      <c r="A587" t="s">
        <v>557</v>
      </c>
      <c r="B587" t="s">
        <v>2481</v>
      </c>
      <c r="C587" t="s">
        <v>744</v>
      </c>
      <c r="D587" t="s">
        <v>796</v>
      </c>
      <c r="E587" t="s">
        <v>2482</v>
      </c>
      <c r="F587" t="s">
        <v>612</v>
      </c>
      <c r="G587" t="s">
        <v>613</v>
      </c>
      <c r="H587" t="s">
        <v>618</v>
      </c>
    </row>
    <row r="588" spans="1:8" x14ac:dyDescent="0.25">
      <c r="A588" t="s">
        <v>2483</v>
      </c>
      <c r="B588" t="s">
        <v>2484</v>
      </c>
      <c r="C588" t="s">
        <v>700</v>
      </c>
      <c r="D588" t="s">
        <v>2485</v>
      </c>
      <c r="E588" t="s">
        <v>2486</v>
      </c>
      <c r="F588" t="s">
        <v>612</v>
      </c>
      <c r="G588" t="s">
        <v>613</v>
      </c>
      <c r="H588" t="s">
        <v>618</v>
      </c>
    </row>
    <row r="589" spans="1:8" x14ac:dyDescent="0.25">
      <c r="A589" t="s">
        <v>2487</v>
      </c>
      <c r="B589" t="s">
        <v>2488</v>
      </c>
      <c r="C589" t="s">
        <v>744</v>
      </c>
      <c r="D589" t="s">
        <v>641</v>
      </c>
      <c r="E589" t="s">
        <v>2489</v>
      </c>
      <c r="F589" t="s">
        <v>612</v>
      </c>
      <c r="G589" t="s">
        <v>613</v>
      </c>
      <c r="H589" t="s">
        <v>618</v>
      </c>
    </row>
    <row r="590" spans="1:8" x14ac:dyDescent="0.25">
      <c r="A590" t="s">
        <v>2490</v>
      </c>
      <c r="B590" t="s">
        <v>2491</v>
      </c>
      <c r="C590" t="s">
        <v>102</v>
      </c>
      <c r="D590" t="s">
        <v>1447</v>
      </c>
      <c r="F590" t="s">
        <v>612</v>
      </c>
      <c r="G590" t="s">
        <v>613</v>
      </c>
      <c r="H590" t="s">
        <v>655</v>
      </c>
    </row>
    <row r="591" spans="1:8" x14ac:dyDescent="0.25">
      <c r="A591" t="s">
        <v>2492</v>
      </c>
      <c r="B591" t="s">
        <v>2493</v>
      </c>
      <c r="C591" t="s">
        <v>1434</v>
      </c>
      <c r="D591" t="s">
        <v>2038</v>
      </c>
      <c r="F591" t="s">
        <v>612</v>
      </c>
      <c r="G591" t="s">
        <v>613</v>
      </c>
      <c r="H591" t="s">
        <v>628</v>
      </c>
    </row>
    <row r="592" spans="1:8" x14ac:dyDescent="0.25">
      <c r="A592" t="s">
        <v>2494</v>
      </c>
      <c r="B592" t="s">
        <v>2495</v>
      </c>
      <c r="C592" t="s">
        <v>744</v>
      </c>
      <c r="D592" t="s">
        <v>679</v>
      </c>
      <c r="E592" t="s">
        <v>2496</v>
      </c>
      <c r="F592" t="s">
        <v>612</v>
      </c>
      <c r="G592" t="s">
        <v>613</v>
      </c>
      <c r="H592" t="s">
        <v>618</v>
      </c>
    </row>
    <row r="593" spans="1:8" x14ac:dyDescent="0.25">
      <c r="A593" t="s">
        <v>2497</v>
      </c>
      <c r="B593" t="s">
        <v>2498</v>
      </c>
      <c r="C593" t="s">
        <v>703</v>
      </c>
      <c r="D593" t="s">
        <v>2499</v>
      </c>
      <c r="E593" t="s">
        <v>2500</v>
      </c>
      <c r="F593" t="s">
        <v>612</v>
      </c>
      <c r="G593" t="s">
        <v>613</v>
      </c>
      <c r="H593" t="s">
        <v>618</v>
      </c>
    </row>
    <row r="594" spans="1:8" x14ac:dyDescent="0.25">
      <c r="A594" t="s">
        <v>2501</v>
      </c>
      <c r="B594" t="s">
        <v>2502</v>
      </c>
      <c r="C594" t="s">
        <v>67</v>
      </c>
      <c r="D594" t="s">
        <v>1250</v>
      </c>
      <c r="E594" t="s">
        <v>2503</v>
      </c>
      <c r="F594" t="s">
        <v>612</v>
      </c>
      <c r="G594" t="s">
        <v>613</v>
      </c>
      <c r="H594" t="s">
        <v>655</v>
      </c>
    </row>
    <row r="595" spans="1:8" x14ac:dyDescent="0.25">
      <c r="A595" t="s">
        <v>115</v>
      </c>
      <c r="B595" t="s">
        <v>2504</v>
      </c>
      <c r="C595" t="s">
        <v>2340</v>
      </c>
      <c r="D595" t="s">
        <v>2505</v>
      </c>
      <c r="F595" t="s">
        <v>612</v>
      </c>
      <c r="G595" t="s">
        <v>613</v>
      </c>
      <c r="H595" t="s">
        <v>655</v>
      </c>
    </row>
    <row r="596" spans="1:8" x14ac:dyDescent="0.25">
      <c r="A596" t="s">
        <v>2506</v>
      </c>
      <c r="B596" t="s">
        <v>2507</v>
      </c>
      <c r="C596" t="s">
        <v>1434</v>
      </c>
      <c r="D596" t="s">
        <v>2508</v>
      </c>
      <c r="E596" t="s">
        <v>2509</v>
      </c>
      <c r="F596" t="s">
        <v>612</v>
      </c>
      <c r="G596" t="s">
        <v>613</v>
      </c>
      <c r="H596" t="s">
        <v>648</v>
      </c>
    </row>
    <row r="597" spans="1:8" x14ac:dyDescent="0.25">
      <c r="A597" t="s">
        <v>2510</v>
      </c>
      <c r="B597" t="s">
        <v>2511</v>
      </c>
      <c r="C597" t="s">
        <v>775</v>
      </c>
      <c r="D597" t="s">
        <v>769</v>
      </c>
      <c r="E597" t="s">
        <v>2512</v>
      </c>
      <c r="F597" t="s">
        <v>612</v>
      </c>
      <c r="G597" t="s">
        <v>613</v>
      </c>
      <c r="H597" t="s">
        <v>655</v>
      </c>
    </row>
    <row r="598" spans="1:8" x14ac:dyDescent="0.25">
      <c r="A598" t="s">
        <v>2513</v>
      </c>
      <c r="B598" t="s">
        <v>2514</v>
      </c>
      <c r="C598" t="s">
        <v>678</v>
      </c>
      <c r="D598" t="s">
        <v>2515</v>
      </c>
      <c r="E598" t="s">
        <v>2516</v>
      </c>
      <c r="F598" t="s">
        <v>612</v>
      </c>
      <c r="G598" t="s">
        <v>613</v>
      </c>
      <c r="H598" t="s">
        <v>681</v>
      </c>
    </row>
    <row r="599" spans="1:8" x14ac:dyDescent="0.25">
      <c r="A599" t="s">
        <v>453</v>
      </c>
      <c r="B599" t="s">
        <v>2517</v>
      </c>
      <c r="C599" t="s">
        <v>876</v>
      </c>
      <c r="D599" t="s">
        <v>1257</v>
      </c>
      <c r="E599" t="s">
        <v>2518</v>
      </c>
      <c r="F599" t="s">
        <v>612</v>
      </c>
      <c r="G599" t="s">
        <v>613</v>
      </c>
      <c r="H599" t="s">
        <v>618</v>
      </c>
    </row>
    <row r="600" spans="1:8" x14ac:dyDescent="0.25">
      <c r="A600" t="s">
        <v>2519</v>
      </c>
      <c r="B600" t="s">
        <v>2520</v>
      </c>
      <c r="C600" t="s">
        <v>616</v>
      </c>
      <c r="D600" t="s">
        <v>2074</v>
      </c>
      <c r="F600" t="s">
        <v>612</v>
      </c>
      <c r="G600" t="s">
        <v>613</v>
      </c>
      <c r="H600" t="s">
        <v>618</v>
      </c>
    </row>
    <row r="601" spans="1:8" x14ac:dyDescent="0.25">
      <c r="A601" t="s">
        <v>2521</v>
      </c>
      <c r="B601" t="s">
        <v>2522</v>
      </c>
      <c r="C601" t="s">
        <v>640</v>
      </c>
      <c r="D601" t="s">
        <v>2523</v>
      </c>
      <c r="E601" t="s">
        <v>2524</v>
      </c>
      <c r="F601" t="s">
        <v>612</v>
      </c>
      <c r="G601" t="s">
        <v>613</v>
      </c>
      <c r="H601" t="s">
        <v>618</v>
      </c>
    </row>
    <row r="602" spans="1:8" x14ac:dyDescent="0.25">
      <c r="A602" t="s">
        <v>2525</v>
      </c>
      <c r="B602" t="s">
        <v>2526</v>
      </c>
      <c r="C602" t="s">
        <v>749</v>
      </c>
      <c r="D602" t="s">
        <v>2527</v>
      </c>
      <c r="E602" t="s">
        <v>2528</v>
      </c>
      <c r="F602" t="s">
        <v>612</v>
      </c>
      <c r="G602" t="s">
        <v>613</v>
      </c>
      <c r="H602" t="s">
        <v>618</v>
      </c>
    </row>
    <row r="603" spans="1:8" x14ac:dyDescent="0.25">
      <c r="A603" t="s">
        <v>192</v>
      </c>
      <c r="B603" t="s">
        <v>2529</v>
      </c>
      <c r="C603" t="s">
        <v>168</v>
      </c>
      <c r="D603" t="s">
        <v>2530</v>
      </c>
      <c r="E603" t="s">
        <v>2531</v>
      </c>
      <c r="F603" t="s">
        <v>612</v>
      </c>
      <c r="G603" t="s">
        <v>613</v>
      </c>
      <c r="H603" t="s">
        <v>655</v>
      </c>
    </row>
    <row r="604" spans="1:8" x14ac:dyDescent="0.25">
      <c r="A604" t="s">
        <v>2532</v>
      </c>
      <c r="B604" t="s">
        <v>2533</v>
      </c>
      <c r="C604" t="s">
        <v>673</v>
      </c>
      <c r="D604" t="s">
        <v>2534</v>
      </c>
      <c r="E604" t="s">
        <v>2535</v>
      </c>
      <c r="F604" t="s">
        <v>612</v>
      </c>
      <c r="G604" t="s">
        <v>613</v>
      </c>
      <c r="H604" t="s">
        <v>648</v>
      </c>
    </row>
    <row r="605" spans="1:8" x14ac:dyDescent="0.25">
      <c r="A605" t="s">
        <v>332</v>
      </c>
      <c r="B605" t="s">
        <v>2536</v>
      </c>
      <c r="C605" t="s">
        <v>1903</v>
      </c>
      <c r="D605" t="s">
        <v>2537</v>
      </c>
      <c r="F605" t="s">
        <v>612</v>
      </c>
      <c r="G605" t="s">
        <v>613</v>
      </c>
      <c r="H605" t="s">
        <v>648</v>
      </c>
    </row>
    <row r="606" spans="1:8" x14ac:dyDescent="0.25">
      <c r="A606" t="s">
        <v>2538</v>
      </c>
      <c r="B606" t="s">
        <v>2539</v>
      </c>
      <c r="C606" t="s">
        <v>102</v>
      </c>
      <c r="D606" t="s">
        <v>2540</v>
      </c>
      <c r="F606" t="s">
        <v>612</v>
      </c>
      <c r="G606" t="s">
        <v>613</v>
      </c>
      <c r="H606" t="s">
        <v>655</v>
      </c>
    </row>
    <row r="607" spans="1:8" x14ac:dyDescent="0.25">
      <c r="A607" t="s">
        <v>513</v>
      </c>
      <c r="B607" t="s">
        <v>2541</v>
      </c>
      <c r="C607" t="s">
        <v>616</v>
      </c>
      <c r="D607" t="s">
        <v>894</v>
      </c>
      <c r="F607" t="s">
        <v>612</v>
      </c>
      <c r="G607" t="s">
        <v>613</v>
      </c>
      <c r="H607" t="s">
        <v>618</v>
      </c>
    </row>
    <row r="608" spans="1:8" x14ac:dyDescent="0.25">
      <c r="A608" t="s">
        <v>2542</v>
      </c>
      <c r="B608" t="s">
        <v>2543</v>
      </c>
      <c r="C608" t="s">
        <v>700</v>
      </c>
      <c r="D608" t="s">
        <v>2199</v>
      </c>
      <c r="E608" t="s">
        <v>2544</v>
      </c>
      <c r="F608" t="s">
        <v>612</v>
      </c>
      <c r="G608" t="s">
        <v>613</v>
      </c>
      <c r="H608" t="s">
        <v>618</v>
      </c>
    </row>
    <row r="609" spans="1:8" x14ac:dyDescent="0.25">
      <c r="A609" t="s">
        <v>2545</v>
      </c>
      <c r="B609" t="s">
        <v>2546</v>
      </c>
      <c r="C609" t="s">
        <v>616</v>
      </c>
      <c r="D609" t="s">
        <v>1313</v>
      </c>
      <c r="E609" t="s">
        <v>2547</v>
      </c>
      <c r="F609" t="s">
        <v>612</v>
      </c>
      <c r="G609" t="s">
        <v>613</v>
      </c>
      <c r="H609" t="s">
        <v>618</v>
      </c>
    </row>
    <row r="610" spans="1:8" x14ac:dyDescent="0.25">
      <c r="A610" t="s">
        <v>108</v>
      </c>
      <c r="B610" t="s">
        <v>2548</v>
      </c>
      <c r="C610" t="s">
        <v>616</v>
      </c>
      <c r="D610" t="s">
        <v>721</v>
      </c>
      <c r="F610" t="s">
        <v>612</v>
      </c>
      <c r="G610" t="s">
        <v>613</v>
      </c>
      <c r="H610" t="s">
        <v>618</v>
      </c>
    </row>
    <row r="611" spans="1:8" x14ac:dyDescent="0.25">
      <c r="A611" t="s">
        <v>232</v>
      </c>
      <c r="B611" t="s">
        <v>2549</v>
      </c>
      <c r="C611" t="s">
        <v>86</v>
      </c>
      <c r="D611" t="s">
        <v>2550</v>
      </c>
      <c r="E611" t="s">
        <v>2551</v>
      </c>
      <c r="F611" t="s">
        <v>612</v>
      </c>
      <c r="G611" t="s">
        <v>613</v>
      </c>
      <c r="H611" t="s">
        <v>634</v>
      </c>
    </row>
    <row r="612" spans="1:8" x14ac:dyDescent="0.25">
      <c r="A612" t="s">
        <v>2552</v>
      </c>
      <c r="B612" t="s">
        <v>2553</v>
      </c>
      <c r="C612" t="s">
        <v>744</v>
      </c>
      <c r="D612" t="s">
        <v>1214</v>
      </c>
      <c r="F612" t="s">
        <v>612</v>
      </c>
      <c r="G612" t="s">
        <v>613</v>
      </c>
      <c r="H612" t="s">
        <v>618</v>
      </c>
    </row>
    <row r="613" spans="1:8" x14ac:dyDescent="0.25">
      <c r="A613" t="s">
        <v>207</v>
      </c>
      <c r="B613" t="s">
        <v>2554</v>
      </c>
      <c r="C613" t="s">
        <v>673</v>
      </c>
      <c r="D613" t="s">
        <v>2555</v>
      </c>
      <c r="F613" t="s">
        <v>612</v>
      </c>
      <c r="G613" t="s">
        <v>613</v>
      </c>
      <c r="H613" t="s">
        <v>648</v>
      </c>
    </row>
    <row r="614" spans="1:8" x14ac:dyDescent="0.25">
      <c r="A614" t="s">
        <v>203</v>
      </c>
      <c r="B614" t="s">
        <v>2556</v>
      </c>
      <c r="C614" t="s">
        <v>1849</v>
      </c>
      <c r="D614" t="s">
        <v>1343</v>
      </c>
      <c r="F614" t="s">
        <v>612</v>
      </c>
      <c r="G614" t="s">
        <v>613</v>
      </c>
      <c r="H614" t="s">
        <v>655</v>
      </c>
    </row>
    <row r="615" spans="1:8" x14ac:dyDescent="0.25">
      <c r="A615" t="s">
        <v>2557</v>
      </c>
      <c r="B615" t="s">
        <v>2558</v>
      </c>
      <c r="C615" t="s">
        <v>703</v>
      </c>
      <c r="D615" t="s">
        <v>2336</v>
      </c>
      <c r="F615" t="s">
        <v>612</v>
      </c>
      <c r="G615" t="s">
        <v>613</v>
      </c>
      <c r="H615" t="s">
        <v>618</v>
      </c>
    </row>
    <row r="616" spans="1:8" x14ac:dyDescent="0.25">
      <c r="A616" t="s">
        <v>2559</v>
      </c>
      <c r="B616" t="s">
        <v>2560</v>
      </c>
      <c r="C616" t="s">
        <v>2561</v>
      </c>
      <c r="D616" t="s">
        <v>791</v>
      </c>
      <c r="E616" t="s">
        <v>2562</v>
      </c>
      <c r="F616" t="s">
        <v>612</v>
      </c>
      <c r="G616" t="s">
        <v>613</v>
      </c>
      <c r="H616" t="s">
        <v>681</v>
      </c>
    </row>
    <row r="617" spans="1:8" x14ac:dyDescent="0.25">
      <c r="A617" t="s">
        <v>2563</v>
      </c>
      <c r="B617" t="s">
        <v>2564</v>
      </c>
      <c r="C617" t="s">
        <v>749</v>
      </c>
      <c r="D617" t="s">
        <v>1369</v>
      </c>
      <c r="E617" t="s">
        <v>2565</v>
      </c>
      <c r="F617" t="s">
        <v>612</v>
      </c>
      <c r="G617" t="s">
        <v>613</v>
      </c>
      <c r="H617" t="s">
        <v>618</v>
      </c>
    </row>
    <row r="618" spans="1:8" x14ac:dyDescent="0.25">
      <c r="A618" t="s">
        <v>2566</v>
      </c>
      <c r="B618" t="s">
        <v>2567</v>
      </c>
      <c r="C618" t="s">
        <v>749</v>
      </c>
      <c r="D618" t="s">
        <v>2568</v>
      </c>
      <c r="F618" t="s">
        <v>612</v>
      </c>
      <c r="G618" t="s">
        <v>613</v>
      </c>
      <c r="H618" t="s">
        <v>618</v>
      </c>
    </row>
    <row r="619" spans="1:8" x14ac:dyDescent="0.25">
      <c r="A619" t="s">
        <v>2569</v>
      </c>
      <c r="B619" t="s">
        <v>2570</v>
      </c>
      <c r="C619" t="s">
        <v>752</v>
      </c>
      <c r="D619" t="s">
        <v>2571</v>
      </c>
      <c r="E619" t="s">
        <v>2572</v>
      </c>
      <c r="F619" t="s">
        <v>612</v>
      </c>
      <c r="G619" t="s">
        <v>613</v>
      </c>
      <c r="H619" t="s">
        <v>618</v>
      </c>
    </row>
    <row r="620" spans="1:8" x14ac:dyDescent="0.25">
      <c r="A620" t="s">
        <v>2573</v>
      </c>
      <c r="B620" t="s">
        <v>2574</v>
      </c>
      <c r="C620" t="s">
        <v>744</v>
      </c>
      <c r="D620" t="s">
        <v>833</v>
      </c>
      <c r="E620" t="s">
        <v>2575</v>
      </c>
      <c r="F620" t="s">
        <v>612</v>
      </c>
      <c r="G620" t="s">
        <v>613</v>
      </c>
      <c r="H620" t="s">
        <v>618</v>
      </c>
    </row>
    <row r="621" spans="1:8" x14ac:dyDescent="0.25">
      <c r="A621" t="s">
        <v>2576</v>
      </c>
      <c r="B621" t="s">
        <v>2577</v>
      </c>
      <c r="C621" t="s">
        <v>703</v>
      </c>
      <c r="D621" t="s">
        <v>2578</v>
      </c>
      <c r="E621" t="s">
        <v>2579</v>
      </c>
      <c r="F621" t="s">
        <v>612</v>
      </c>
      <c r="G621" t="s">
        <v>613</v>
      </c>
      <c r="H621" t="s">
        <v>618</v>
      </c>
    </row>
    <row r="622" spans="1:8" x14ac:dyDescent="0.25">
      <c r="A622" t="s">
        <v>321</v>
      </c>
      <c r="B622" t="s">
        <v>2580</v>
      </c>
      <c r="C622" t="s">
        <v>856</v>
      </c>
      <c r="D622" t="s">
        <v>2581</v>
      </c>
      <c r="F622" t="s">
        <v>612</v>
      </c>
      <c r="G622" t="s">
        <v>613</v>
      </c>
      <c r="H622" t="s">
        <v>634</v>
      </c>
    </row>
    <row r="623" spans="1:8" x14ac:dyDescent="0.25">
      <c r="A623" t="s">
        <v>2582</v>
      </c>
      <c r="B623" t="s">
        <v>2583</v>
      </c>
      <c r="C623" t="s">
        <v>640</v>
      </c>
      <c r="D623" t="s">
        <v>2584</v>
      </c>
      <c r="E623" t="s">
        <v>2585</v>
      </c>
      <c r="F623" t="s">
        <v>612</v>
      </c>
      <c r="G623" t="s">
        <v>613</v>
      </c>
      <c r="H623" t="s">
        <v>618</v>
      </c>
    </row>
    <row r="624" spans="1:8" x14ac:dyDescent="0.25">
      <c r="A624" t="s">
        <v>245</v>
      </c>
      <c r="B624" t="s">
        <v>2586</v>
      </c>
      <c r="C624" t="s">
        <v>86</v>
      </c>
      <c r="D624" t="s">
        <v>2587</v>
      </c>
      <c r="F624" t="s">
        <v>612</v>
      </c>
      <c r="G624" t="s">
        <v>613</v>
      </c>
      <c r="H624" t="s">
        <v>634</v>
      </c>
    </row>
    <row r="625" spans="1:8" x14ac:dyDescent="0.25">
      <c r="A625" t="s">
        <v>140</v>
      </c>
      <c r="B625" t="s">
        <v>2588</v>
      </c>
      <c r="C625" t="s">
        <v>768</v>
      </c>
      <c r="D625" t="s">
        <v>769</v>
      </c>
      <c r="E625" t="s">
        <v>2589</v>
      </c>
      <c r="F625" t="s">
        <v>612</v>
      </c>
      <c r="G625" t="s">
        <v>613</v>
      </c>
      <c r="H625" t="s">
        <v>655</v>
      </c>
    </row>
    <row r="626" spans="1:8" x14ac:dyDescent="0.25">
      <c r="A626" t="s">
        <v>2590</v>
      </c>
      <c r="B626" t="s">
        <v>2591</v>
      </c>
      <c r="C626" t="s">
        <v>703</v>
      </c>
      <c r="D626" t="s">
        <v>2592</v>
      </c>
      <c r="E626" t="s">
        <v>2593</v>
      </c>
      <c r="F626" t="s">
        <v>612</v>
      </c>
      <c r="G626" t="s">
        <v>613</v>
      </c>
      <c r="H626" t="s">
        <v>618</v>
      </c>
    </row>
    <row r="627" spans="1:8" x14ac:dyDescent="0.25">
      <c r="A627" t="s">
        <v>2594</v>
      </c>
      <c r="B627" t="s">
        <v>2595</v>
      </c>
      <c r="C627" t="s">
        <v>749</v>
      </c>
      <c r="D627" t="s">
        <v>1302</v>
      </c>
      <c r="E627" t="s">
        <v>2596</v>
      </c>
      <c r="F627" t="s">
        <v>612</v>
      </c>
      <c r="G627" t="s">
        <v>613</v>
      </c>
      <c r="H627" t="s">
        <v>618</v>
      </c>
    </row>
    <row r="628" spans="1:8" x14ac:dyDescent="0.25">
      <c r="A628" t="s">
        <v>2597</v>
      </c>
      <c r="B628" t="s">
        <v>2598</v>
      </c>
      <c r="C628" t="s">
        <v>749</v>
      </c>
      <c r="D628" t="s">
        <v>2599</v>
      </c>
      <c r="E628" t="s">
        <v>2600</v>
      </c>
      <c r="F628" t="s">
        <v>612</v>
      </c>
      <c r="G628" t="s">
        <v>613</v>
      </c>
      <c r="H628" t="s">
        <v>618</v>
      </c>
    </row>
    <row r="629" spans="1:8" x14ac:dyDescent="0.25">
      <c r="A629" t="s">
        <v>391</v>
      </c>
      <c r="B629" t="s">
        <v>2601</v>
      </c>
      <c r="C629" t="s">
        <v>1235</v>
      </c>
      <c r="D629" t="s">
        <v>877</v>
      </c>
      <c r="E629" t="s">
        <v>2602</v>
      </c>
      <c r="F629" t="s">
        <v>612</v>
      </c>
      <c r="G629" t="s">
        <v>613</v>
      </c>
      <c r="H629" t="s">
        <v>618</v>
      </c>
    </row>
    <row r="630" spans="1:8" x14ac:dyDescent="0.25">
      <c r="A630" t="s">
        <v>337</v>
      </c>
      <c r="B630" t="s">
        <v>2603</v>
      </c>
      <c r="C630" t="s">
        <v>768</v>
      </c>
      <c r="D630" t="s">
        <v>769</v>
      </c>
      <c r="E630" t="s">
        <v>2604</v>
      </c>
      <c r="F630" t="s">
        <v>612</v>
      </c>
      <c r="G630" t="s">
        <v>613</v>
      </c>
      <c r="H630" t="s">
        <v>655</v>
      </c>
    </row>
    <row r="631" spans="1:8" x14ac:dyDescent="0.25">
      <c r="A631" t="s">
        <v>70</v>
      </c>
      <c r="B631" t="s">
        <v>2605</v>
      </c>
      <c r="C631" t="s">
        <v>67</v>
      </c>
      <c r="D631" t="s">
        <v>2606</v>
      </c>
      <c r="E631" t="s">
        <v>2607</v>
      </c>
      <c r="F631" t="s">
        <v>612</v>
      </c>
      <c r="G631" t="s">
        <v>613</v>
      </c>
      <c r="H631" t="s">
        <v>655</v>
      </c>
    </row>
    <row r="632" spans="1:8" x14ac:dyDescent="0.25">
      <c r="A632" t="s">
        <v>552</v>
      </c>
      <c r="B632" t="s">
        <v>2608</v>
      </c>
      <c r="C632" t="s">
        <v>752</v>
      </c>
      <c r="D632" t="s">
        <v>1828</v>
      </c>
      <c r="E632" t="s">
        <v>2609</v>
      </c>
      <c r="F632" t="s">
        <v>612</v>
      </c>
      <c r="G632" t="s">
        <v>613</v>
      </c>
      <c r="H632" t="s">
        <v>618</v>
      </c>
    </row>
    <row r="633" spans="1:8" x14ac:dyDescent="0.25">
      <c r="A633" t="s">
        <v>346</v>
      </c>
      <c r="B633" t="s">
        <v>2610</v>
      </c>
      <c r="C633" t="s">
        <v>2611</v>
      </c>
      <c r="D633" t="s">
        <v>769</v>
      </c>
      <c r="E633" t="s">
        <v>2612</v>
      </c>
      <c r="F633" t="s">
        <v>612</v>
      </c>
      <c r="G633" t="s">
        <v>613</v>
      </c>
      <c r="H633" t="s">
        <v>618</v>
      </c>
    </row>
    <row r="634" spans="1:8" x14ac:dyDescent="0.25">
      <c r="A634" t="s">
        <v>2613</v>
      </c>
      <c r="B634" t="s">
        <v>2614</v>
      </c>
      <c r="C634" t="s">
        <v>744</v>
      </c>
      <c r="D634" t="s">
        <v>833</v>
      </c>
      <c r="E634" t="s">
        <v>2615</v>
      </c>
      <c r="F634" t="s">
        <v>612</v>
      </c>
      <c r="G634" t="s">
        <v>613</v>
      </c>
      <c r="H634" t="s">
        <v>618</v>
      </c>
    </row>
    <row r="635" spans="1:8" x14ac:dyDescent="0.25">
      <c r="A635" t="s">
        <v>2616</v>
      </c>
      <c r="B635" t="s">
        <v>2617</v>
      </c>
      <c r="C635" t="s">
        <v>2132</v>
      </c>
      <c r="D635" t="s">
        <v>2151</v>
      </c>
      <c r="E635" t="s">
        <v>2618</v>
      </c>
      <c r="F635" t="s">
        <v>612</v>
      </c>
      <c r="G635" t="s">
        <v>613</v>
      </c>
      <c r="H635" t="s">
        <v>648</v>
      </c>
    </row>
    <row r="636" spans="1:8" x14ac:dyDescent="0.25">
      <c r="A636" t="s">
        <v>178</v>
      </c>
      <c r="B636" t="s">
        <v>2619</v>
      </c>
      <c r="C636" t="s">
        <v>168</v>
      </c>
      <c r="D636" t="s">
        <v>1870</v>
      </c>
      <c r="E636" t="s">
        <v>2620</v>
      </c>
      <c r="F636" t="s">
        <v>612</v>
      </c>
      <c r="G636" t="s">
        <v>613</v>
      </c>
      <c r="H636" t="s">
        <v>655</v>
      </c>
    </row>
    <row r="637" spans="1:8" x14ac:dyDescent="0.25">
      <c r="A637" t="s">
        <v>457</v>
      </c>
      <c r="B637" t="s">
        <v>2621</v>
      </c>
      <c r="C637" t="s">
        <v>749</v>
      </c>
      <c r="D637" t="s">
        <v>2622</v>
      </c>
      <c r="E637" t="s">
        <v>2623</v>
      </c>
      <c r="F637" t="s">
        <v>612</v>
      </c>
      <c r="G637" t="s">
        <v>613</v>
      </c>
      <c r="H637" t="s">
        <v>618</v>
      </c>
    </row>
    <row r="638" spans="1:8" x14ac:dyDescent="0.25">
      <c r="A638" t="s">
        <v>44</v>
      </c>
      <c r="B638" t="s">
        <v>2624</v>
      </c>
      <c r="C638" t="s">
        <v>1190</v>
      </c>
      <c r="D638" t="s">
        <v>1191</v>
      </c>
      <c r="E638" t="s">
        <v>2625</v>
      </c>
      <c r="F638" t="s">
        <v>612</v>
      </c>
      <c r="G638" t="s">
        <v>613</v>
      </c>
      <c r="H638" t="s">
        <v>1193</v>
      </c>
    </row>
    <row r="639" spans="1:8" x14ac:dyDescent="0.25">
      <c r="A639" t="s">
        <v>2626</v>
      </c>
      <c r="B639" t="s">
        <v>2627</v>
      </c>
      <c r="C639" t="s">
        <v>631</v>
      </c>
      <c r="D639" t="s">
        <v>2628</v>
      </c>
      <c r="E639" t="s">
        <v>2629</v>
      </c>
      <c r="F639" t="s">
        <v>612</v>
      </c>
      <c r="G639" t="s">
        <v>613</v>
      </c>
      <c r="H639" t="s">
        <v>634</v>
      </c>
    </row>
    <row r="640" spans="1:8" x14ac:dyDescent="0.25">
      <c r="A640" t="s">
        <v>2630</v>
      </c>
      <c r="B640" t="s">
        <v>2631</v>
      </c>
      <c r="C640" t="s">
        <v>744</v>
      </c>
      <c r="D640" t="s">
        <v>2606</v>
      </c>
      <c r="E640" t="s">
        <v>2632</v>
      </c>
      <c r="F640" t="s">
        <v>612</v>
      </c>
      <c r="G640" t="s">
        <v>613</v>
      </c>
      <c r="H640" t="s">
        <v>618</v>
      </c>
    </row>
    <row r="641" spans="1:8" x14ac:dyDescent="0.25">
      <c r="A641" t="s">
        <v>2633</v>
      </c>
      <c r="B641" t="s">
        <v>2634</v>
      </c>
      <c r="C641" t="s">
        <v>2635</v>
      </c>
      <c r="D641" t="s">
        <v>2636</v>
      </c>
      <c r="F641" t="s">
        <v>612</v>
      </c>
      <c r="G641" t="s">
        <v>613</v>
      </c>
      <c r="H641" t="s">
        <v>634</v>
      </c>
    </row>
    <row r="642" spans="1:8" x14ac:dyDescent="0.25">
      <c r="A642" t="s">
        <v>48</v>
      </c>
      <c r="B642" t="s">
        <v>2637</v>
      </c>
      <c r="C642" t="s">
        <v>616</v>
      </c>
      <c r="D642" t="s">
        <v>2638</v>
      </c>
      <c r="E642" t="s">
        <v>2639</v>
      </c>
      <c r="F642" t="s">
        <v>612</v>
      </c>
      <c r="G642" t="s">
        <v>613</v>
      </c>
      <c r="H642" t="s">
        <v>618</v>
      </c>
    </row>
    <row r="643" spans="1:8" x14ac:dyDescent="0.25">
      <c r="A643" t="s">
        <v>475</v>
      </c>
      <c r="B643" t="s">
        <v>2640</v>
      </c>
      <c r="C643" t="s">
        <v>640</v>
      </c>
      <c r="D643" t="s">
        <v>2641</v>
      </c>
      <c r="E643" t="s">
        <v>2642</v>
      </c>
      <c r="F643" t="s">
        <v>612</v>
      </c>
      <c r="G643" t="s">
        <v>613</v>
      </c>
      <c r="H643" t="s">
        <v>618</v>
      </c>
    </row>
    <row r="644" spans="1:8" x14ac:dyDescent="0.25">
      <c r="A644" t="s">
        <v>524</v>
      </c>
      <c r="B644" t="s">
        <v>2643</v>
      </c>
      <c r="C644" t="s">
        <v>925</v>
      </c>
      <c r="D644" t="s">
        <v>1669</v>
      </c>
      <c r="E644" t="s">
        <v>2644</v>
      </c>
      <c r="F644" t="s">
        <v>612</v>
      </c>
      <c r="G644" t="s">
        <v>613</v>
      </c>
      <c r="H644" t="s">
        <v>618</v>
      </c>
    </row>
    <row r="645" spans="1:8" x14ac:dyDescent="0.25">
      <c r="A645" t="s">
        <v>2645</v>
      </c>
      <c r="B645" t="s">
        <v>2646</v>
      </c>
      <c r="C645" t="s">
        <v>616</v>
      </c>
      <c r="D645" t="s">
        <v>2647</v>
      </c>
      <c r="E645" t="s">
        <v>2648</v>
      </c>
      <c r="F645" t="s">
        <v>612</v>
      </c>
      <c r="G645" t="s">
        <v>613</v>
      </c>
      <c r="H645" t="s">
        <v>618</v>
      </c>
    </row>
    <row r="646" spans="1:8" x14ac:dyDescent="0.25">
      <c r="A646" t="s">
        <v>369</v>
      </c>
      <c r="B646" t="s">
        <v>2649</v>
      </c>
      <c r="C646" t="s">
        <v>752</v>
      </c>
      <c r="D646" t="s">
        <v>2295</v>
      </c>
      <c r="E646" t="s">
        <v>2650</v>
      </c>
      <c r="F646" t="s">
        <v>612</v>
      </c>
      <c r="G646" t="s">
        <v>613</v>
      </c>
      <c r="H646" t="s">
        <v>618</v>
      </c>
    </row>
    <row r="647" spans="1:8" x14ac:dyDescent="0.25">
      <c r="A647" t="s">
        <v>2651</v>
      </c>
      <c r="B647" t="s">
        <v>2652</v>
      </c>
      <c r="C647" t="s">
        <v>673</v>
      </c>
      <c r="D647" t="s">
        <v>2653</v>
      </c>
      <c r="E647" t="s">
        <v>2654</v>
      </c>
      <c r="F647" t="s">
        <v>612</v>
      </c>
      <c r="G647" t="s">
        <v>613</v>
      </c>
      <c r="H647" t="s">
        <v>648</v>
      </c>
    </row>
    <row r="648" spans="1:8" x14ac:dyDescent="0.25">
      <c r="A648" t="s">
        <v>523</v>
      </c>
      <c r="B648" t="s">
        <v>2655</v>
      </c>
      <c r="C648" t="s">
        <v>925</v>
      </c>
      <c r="D648" t="s">
        <v>1713</v>
      </c>
      <c r="E648" t="s">
        <v>2656</v>
      </c>
      <c r="F648" t="s">
        <v>612</v>
      </c>
      <c r="G648" t="s">
        <v>613</v>
      </c>
      <c r="H648" t="s">
        <v>618</v>
      </c>
    </row>
    <row r="649" spans="1:8" x14ac:dyDescent="0.25">
      <c r="A649" t="s">
        <v>2657</v>
      </c>
      <c r="B649" t="s">
        <v>2658</v>
      </c>
      <c r="C649" t="s">
        <v>1434</v>
      </c>
      <c r="D649" t="s">
        <v>2659</v>
      </c>
      <c r="F649" t="s">
        <v>612</v>
      </c>
      <c r="G649" t="s">
        <v>613</v>
      </c>
      <c r="H649" t="s">
        <v>628</v>
      </c>
    </row>
    <row r="650" spans="1:8" x14ac:dyDescent="0.25">
      <c r="A650" t="s">
        <v>419</v>
      </c>
      <c r="B650" t="s">
        <v>2660</v>
      </c>
      <c r="C650" t="s">
        <v>616</v>
      </c>
      <c r="D650" t="s">
        <v>919</v>
      </c>
      <c r="E650" t="s">
        <v>2661</v>
      </c>
      <c r="F650" t="s">
        <v>612</v>
      </c>
      <c r="G650" t="s">
        <v>613</v>
      </c>
      <c r="H650" t="s">
        <v>618</v>
      </c>
    </row>
    <row r="651" spans="1:8" x14ac:dyDescent="0.25">
      <c r="A651" t="s">
        <v>2662</v>
      </c>
      <c r="B651" t="s">
        <v>2663</v>
      </c>
      <c r="C651" t="s">
        <v>744</v>
      </c>
      <c r="D651" t="s">
        <v>2664</v>
      </c>
      <c r="F651" t="s">
        <v>612</v>
      </c>
      <c r="G651" t="s">
        <v>613</v>
      </c>
      <c r="H651" t="s">
        <v>618</v>
      </c>
    </row>
    <row r="652" spans="1:8" x14ac:dyDescent="0.25">
      <c r="A652" t="s">
        <v>2665</v>
      </c>
      <c r="B652" t="s">
        <v>2666</v>
      </c>
      <c r="C652" t="s">
        <v>752</v>
      </c>
      <c r="D652" t="s">
        <v>2667</v>
      </c>
      <c r="E652" t="s">
        <v>2668</v>
      </c>
      <c r="F652" t="s">
        <v>612</v>
      </c>
      <c r="G652" t="s">
        <v>613</v>
      </c>
      <c r="H652" t="s">
        <v>618</v>
      </c>
    </row>
    <row r="653" spans="1:8" x14ac:dyDescent="0.25">
      <c r="A653" t="s">
        <v>397</v>
      </c>
      <c r="B653" t="s">
        <v>2669</v>
      </c>
      <c r="C653" t="s">
        <v>640</v>
      </c>
      <c r="D653" t="s">
        <v>734</v>
      </c>
      <c r="F653" t="s">
        <v>612</v>
      </c>
      <c r="G653" t="s">
        <v>613</v>
      </c>
      <c r="H653" t="s">
        <v>618</v>
      </c>
    </row>
    <row r="654" spans="1:8" x14ac:dyDescent="0.25">
      <c r="A654" t="s">
        <v>2670</v>
      </c>
      <c r="B654" t="s">
        <v>2671</v>
      </c>
      <c r="C654" t="s">
        <v>744</v>
      </c>
      <c r="D654" t="s">
        <v>2672</v>
      </c>
      <c r="E654" t="s">
        <v>2673</v>
      </c>
      <c r="F654" t="s">
        <v>612</v>
      </c>
      <c r="G654" t="s">
        <v>613</v>
      </c>
      <c r="H654" t="s">
        <v>618</v>
      </c>
    </row>
    <row r="655" spans="1:8" x14ac:dyDescent="0.25">
      <c r="A655" t="s">
        <v>2674</v>
      </c>
      <c r="B655" t="s">
        <v>2675</v>
      </c>
      <c r="C655" t="s">
        <v>744</v>
      </c>
      <c r="D655" t="s">
        <v>641</v>
      </c>
      <c r="E655" t="s">
        <v>2676</v>
      </c>
      <c r="F655" t="s">
        <v>612</v>
      </c>
      <c r="G655" t="s">
        <v>613</v>
      </c>
      <c r="H655" t="s">
        <v>618</v>
      </c>
    </row>
    <row r="656" spans="1:8" x14ac:dyDescent="0.25">
      <c r="A656" t="s">
        <v>2677</v>
      </c>
      <c r="B656" t="s">
        <v>2678</v>
      </c>
      <c r="C656" t="s">
        <v>640</v>
      </c>
      <c r="D656" t="s">
        <v>2672</v>
      </c>
      <c r="E656" t="s">
        <v>2679</v>
      </c>
      <c r="F656" t="s">
        <v>612</v>
      </c>
      <c r="G656" t="s">
        <v>613</v>
      </c>
      <c r="H656" t="s">
        <v>618</v>
      </c>
    </row>
    <row r="657" spans="1:8" x14ac:dyDescent="0.25">
      <c r="A657" t="s">
        <v>2680</v>
      </c>
      <c r="B657" t="s">
        <v>2681</v>
      </c>
      <c r="C657" t="s">
        <v>749</v>
      </c>
      <c r="D657" t="s">
        <v>1271</v>
      </c>
      <c r="F657" t="s">
        <v>612</v>
      </c>
      <c r="G657" t="s">
        <v>613</v>
      </c>
      <c r="H657" t="s">
        <v>618</v>
      </c>
    </row>
    <row r="658" spans="1:8" x14ac:dyDescent="0.25">
      <c r="A658" t="s">
        <v>2682</v>
      </c>
      <c r="B658" t="s">
        <v>2683</v>
      </c>
      <c r="E658" t="s">
        <v>2684</v>
      </c>
      <c r="F658" t="s">
        <v>612</v>
      </c>
      <c r="G658" t="s">
        <v>613</v>
      </c>
      <c r="H658" t="s">
        <v>618</v>
      </c>
    </row>
    <row r="659" spans="1:8" x14ac:dyDescent="0.25">
      <c r="A659" t="s">
        <v>2685</v>
      </c>
      <c r="B659" t="s">
        <v>2686</v>
      </c>
      <c r="C659" t="s">
        <v>744</v>
      </c>
      <c r="D659" t="s">
        <v>2687</v>
      </c>
      <c r="E659" t="s">
        <v>2688</v>
      </c>
      <c r="F659" t="s">
        <v>612</v>
      </c>
      <c r="G659" t="s">
        <v>613</v>
      </c>
      <c r="H659" t="s">
        <v>618</v>
      </c>
    </row>
    <row r="660" spans="1:8" x14ac:dyDescent="0.25">
      <c r="A660" t="s">
        <v>2689</v>
      </c>
      <c r="B660" t="s">
        <v>2690</v>
      </c>
      <c r="C660" t="s">
        <v>640</v>
      </c>
      <c r="D660" t="s">
        <v>2691</v>
      </c>
      <c r="E660" t="s">
        <v>2692</v>
      </c>
      <c r="F660" t="s">
        <v>612</v>
      </c>
      <c r="G660" t="s">
        <v>613</v>
      </c>
      <c r="H660" t="s">
        <v>618</v>
      </c>
    </row>
    <row r="661" spans="1:8" x14ac:dyDescent="0.25">
      <c r="A661" t="s">
        <v>193</v>
      </c>
      <c r="B661" t="s">
        <v>2693</v>
      </c>
      <c r="C661" t="s">
        <v>168</v>
      </c>
      <c r="D661" t="s">
        <v>2694</v>
      </c>
      <c r="E661" t="s">
        <v>2695</v>
      </c>
      <c r="F661" t="s">
        <v>612</v>
      </c>
      <c r="G661" t="s">
        <v>613</v>
      </c>
      <c r="H661" t="s">
        <v>655</v>
      </c>
    </row>
    <row r="662" spans="1:8" x14ac:dyDescent="0.25">
      <c r="A662" t="s">
        <v>382</v>
      </c>
      <c r="B662" t="s">
        <v>2696</v>
      </c>
      <c r="C662" t="s">
        <v>744</v>
      </c>
      <c r="D662" t="s">
        <v>2171</v>
      </c>
      <c r="F662" t="s">
        <v>612</v>
      </c>
      <c r="G662" t="s">
        <v>613</v>
      </c>
      <c r="H662" t="s">
        <v>618</v>
      </c>
    </row>
    <row r="663" spans="1:8" x14ac:dyDescent="0.25">
      <c r="A663" t="s">
        <v>287</v>
      </c>
      <c r="B663" t="s">
        <v>2697</v>
      </c>
      <c r="C663" t="s">
        <v>914</v>
      </c>
      <c r="D663" t="s">
        <v>769</v>
      </c>
      <c r="E663" t="s">
        <v>2698</v>
      </c>
      <c r="F663" t="s">
        <v>612</v>
      </c>
      <c r="G663" t="s">
        <v>613</v>
      </c>
      <c r="H663" t="s">
        <v>892</v>
      </c>
    </row>
    <row r="664" spans="1:8" x14ac:dyDescent="0.25">
      <c r="A664" t="s">
        <v>2699</v>
      </c>
      <c r="B664" t="s">
        <v>2700</v>
      </c>
      <c r="C664" t="s">
        <v>1102</v>
      </c>
      <c r="D664" t="s">
        <v>2701</v>
      </c>
      <c r="E664" t="s">
        <v>2702</v>
      </c>
      <c r="F664" t="s">
        <v>612</v>
      </c>
      <c r="G664" t="s">
        <v>613</v>
      </c>
      <c r="H664" t="s">
        <v>648</v>
      </c>
    </row>
    <row r="665" spans="1:8" x14ac:dyDescent="0.25">
      <c r="A665" t="s">
        <v>2703</v>
      </c>
      <c r="B665" t="s">
        <v>2704</v>
      </c>
      <c r="C665" t="s">
        <v>840</v>
      </c>
      <c r="D665" t="s">
        <v>679</v>
      </c>
      <c r="E665" t="s">
        <v>2705</v>
      </c>
      <c r="F665" t="s">
        <v>612</v>
      </c>
      <c r="G665" t="s">
        <v>613</v>
      </c>
      <c r="H665" t="s">
        <v>618</v>
      </c>
    </row>
    <row r="666" spans="1:8" x14ac:dyDescent="0.25">
      <c r="A666" t="s">
        <v>2706</v>
      </c>
      <c r="B666" t="s">
        <v>2707</v>
      </c>
      <c r="C666" t="s">
        <v>640</v>
      </c>
      <c r="D666" t="s">
        <v>1870</v>
      </c>
      <c r="E666" t="s">
        <v>2708</v>
      </c>
      <c r="F666" t="s">
        <v>612</v>
      </c>
      <c r="G666" t="s">
        <v>613</v>
      </c>
      <c r="H666" t="s">
        <v>618</v>
      </c>
    </row>
    <row r="667" spans="1:8" x14ac:dyDescent="0.25">
      <c r="A667" t="s">
        <v>189</v>
      </c>
      <c r="B667" t="s">
        <v>2709</v>
      </c>
      <c r="C667" t="s">
        <v>673</v>
      </c>
      <c r="D667" t="s">
        <v>2710</v>
      </c>
      <c r="E667" t="s">
        <v>2711</v>
      </c>
      <c r="F667" t="s">
        <v>612</v>
      </c>
      <c r="G667" t="s">
        <v>613</v>
      </c>
      <c r="H667" t="s">
        <v>648</v>
      </c>
    </row>
    <row r="668" spans="1:8" x14ac:dyDescent="0.25">
      <c r="A668" t="s">
        <v>370</v>
      </c>
      <c r="B668" t="s">
        <v>2712</v>
      </c>
      <c r="C668" t="s">
        <v>1066</v>
      </c>
      <c r="D668" t="s">
        <v>877</v>
      </c>
      <c r="E668" t="s">
        <v>2713</v>
      </c>
      <c r="F668" t="s">
        <v>612</v>
      </c>
      <c r="G668" t="s">
        <v>613</v>
      </c>
      <c r="H668" t="s">
        <v>618</v>
      </c>
    </row>
    <row r="669" spans="1:8" x14ac:dyDescent="0.25">
      <c r="A669" t="s">
        <v>468</v>
      </c>
      <c r="B669" t="s">
        <v>2714</v>
      </c>
      <c r="C669" t="s">
        <v>752</v>
      </c>
      <c r="D669" t="s">
        <v>2715</v>
      </c>
      <c r="F669" t="s">
        <v>612</v>
      </c>
      <c r="G669" t="s">
        <v>613</v>
      </c>
      <c r="H669" t="s">
        <v>618</v>
      </c>
    </row>
    <row r="670" spans="1:8" x14ac:dyDescent="0.25">
      <c r="A670" t="s">
        <v>171</v>
      </c>
      <c r="B670" t="s">
        <v>2716</v>
      </c>
      <c r="C670" t="s">
        <v>173</v>
      </c>
      <c r="D670" t="s">
        <v>929</v>
      </c>
      <c r="F670" t="s">
        <v>612</v>
      </c>
      <c r="G670" t="s">
        <v>613</v>
      </c>
      <c r="H670" t="s">
        <v>628</v>
      </c>
    </row>
    <row r="671" spans="1:8" x14ac:dyDescent="0.25">
      <c r="A671" t="s">
        <v>194</v>
      </c>
      <c r="B671" t="s">
        <v>2717</v>
      </c>
      <c r="C671" t="s">
        <v>716</v>
      </c>
      <c r="D671" t="s">
        <v>2718</v>
      </c>
      <c r="E671" t="s">
        <v>2719</v>
      </c>
      <c r="F671" t="s">
        <v>612</v>
      </c>
      <c r="G671" t="s">
        <v>613</v>
      </c>
      <c r="H671" t="s">
        <v>655</v>
      </c>
    </row>
    <row r="672" spans="1:8" x14ac:dyDescent="0.25">
      <c r="A672" t="s">
        <v>2720</v>
      </c>
      <c r="B672" t="s">
        <v>2721</v>
      </c>
      <c r="C672" t="s">
        <v>86</v>
      </c>
      <c r="D672" t="s">
        <v>1330</v>
      </c>
      <c r="E672" t="s">
        <v>2722</v>
      </c>
      <c r="F672" t="s">
        <v>612</v>
      </c>
      <c r="G672" t="s">
        <v>613</v>
      </c>
      <c r="H672" t="s">
        <v>634</v>
      </c>
    </row>
    <row r="673" spans="1:8" x14ac:dyDescent="0.25">
      <c r="A673" t="s">
        <v>323</v>
      </c>
      <c r="B673" t="s">
        <v>2723</v>
      </c>
      <c r="C673" t="s">
        <v>775</v>
      </c>
      <c r="D673" t="s">
        <v>769</v>
      </c>
      <c r="E673" t="s">
        <v>2724</v>
      </c>
      <c r="F673" t="s">
        <v>612</v>
      </c>
      <c r="G673" t="s">
        <v>613</v>
      </c>
      <c r="H673" t="s">
        <v>655</v>
      </c>
    </row>
    <row r="674" spans="1:8" x14ac:dyDescent="0.25">
      <c r="A674" t="s">
        <v>363</v>
      </c>
      <c r="B674" t="s">
        <v>2725</v>
      </c>
      <c r="C674" t="s">
        <v>678</v>
      </c>
      <c r="D674" t="s">
        <v>2726</v>
      </c>
      <c r="E674" t="s">
        <v>2727</v>
      </c>
      <c r="F674" t="s">
        <v>612</v>
      </c>
      <c r="G674" t="s">
        <v>613</v>
      </c>
      <c r="H674" t="s">
        <v>681</v>
      </c>
    </row>
    <row r="675" spans="1:8" x14ac:dyDescent="0.25">
      <c r="A675" t="s">
        <v>395</v>
      </c>
      <c r="B675" t="s">
        <v>2728</v>
      </c>
      <c r="C675" t="s">
        <v>640</v>
      </c>
      <c r="D675" t="s">
        <v>2729</v>
      </c>
      <c r="F675" t="s">
        <v>612</v>
      </c>
      <c r="G675" t="s">
        <v>613</v>
      </c>
      <c r="H675" t="s">
        <v>618</v>
      </c>
    </row>
    <row r="676" spans="1:8" x14ac:dyDescent="0.25">
      <c r="A676" t="s">
        <v>2730</v>
      </c>
      <c r="B676" t="s">
        <v>2731</v>
      </c>
      <c r="C676" t="s">
        <v>640</v>
      </c>
      <c r="D676" t="s">
        <v>2151</v>
      </c>
      <c r="E676" t="s">
        <v>2732</v>
      </c>
      <c r="F676" t="s">
        <v>612</v>
      </c>
      <c r="G676" t="s">
        <v>613</v>
      </c>
      <c r="H676" t="s">
        <v>618</v>
      </c>
    </row>
    <row r="677" spans="1:8" x14ac:dyDescent="0.25">
      <c r="A677" t="s">
        <v>125</v>
      </c>
      <c r="B677" t="s">
        <v>2733</v>
      </c>
      <c r="C677" t="s">
        <v>86</v>
      </c>
      <c r="D677" t="s">
        <v>1580</v>
      </c>
      <c r="E677" t="s">
        <v>2734</v>
      </c>
      <c r="F677" t="s">
        <v>612</v>
      </c>
      <c r="G677" t="s">
        <v>613</v>
      </c>
      <c r="H677" t="s">
        <v>634</v>
      </c>
    </row>
    <row r="678" spans="1:8" x14ac:dyDescent="0.25">
      <c r="A678" t="s">
        <v>559</v>
      </c>
      <c r="B678" t="s">
        <v>2735</v>
      </c>
      <c r="C678" t="s">
        <v>749</v>
      </c>
      <c r="D678" t="s">
        <v>894</v>
      </c>
      <c r="E678" t="s">
        <v>2736</v>
      </c>
      <c r="F678" t="s">
        <v>612</v>
      </c>
      <c r="G678" t="s">
        <v>613</v>
      </c>
      <c r="H678" t="s">
        <v>618</v>
      </c>
    </row>
    <row r="679" spans="1:8" x14ac:dyDescent="0.25">
      <c r="A679" t="s">
        <v>110</v>
      </c>
      <c r="B679" t="s">
        <v>2737</v>
      </c>
      <c r="C679" t="s">
        <v>640</v>
      </c>
      <c r="D679" t="s">
        <v>2054</v>
      </c>
      <c r="E679" t="s">
        <v>2738</v>
      </c>
      <c r="F679" t="s">
        <v>612</v>
      </c>
      <c r="G679" t="s">
        <v>613</v>
      </c>
      <c r="H679" t="s">
        <v>618</v>
      </c>
    </row>
    <row r="680" spans="1:8" x14ac:dyDescent="0.25">
      <c r="A680" t="s">
        <v>2739</v>
      </c>
      <c r="B680" t="s">
        <v>2740</v>
      </c>
      <c r="C680" t="s">
        <v>856</v>
      </c>
      <c r="D680" t="s">
        <v>867</v>
      </c>
      <c r="F680" t="s">
        <v>612</v>
      </c>
      <c r="G680" t="s">
        <v>613</v>
      </c>
      <c r="H680" t="s">
        <v>634</v>
      </c>
    </row>
    <row r="681" spans="1:8" x14ac:dyDescent="0.25">
      <c r="A681" t="s">
        <v>296</v>
      </c>
      <c r="B681" t="s">
        <v>2741</v>
      </c>
      <c r="C681" t="s">
        <v>691</v>
      </c>
      <c r="D681" t="s">
        <v>2742</v>
      </c>
      <c r="E681" t="s">
        <v>2743</v>
      </c>
      <c r="F681" t="s">
        <v>612</v>
      </c>
      <c r="G681" t="s">
        <v>613</v>
      </c>
      <c r="H681" t="s">
        <v>634</v>
      </c>
    </row>
    <row r="682" spans="1:8" x14ac:dyDescent="0.25">
      <c r="A682" t="s">
        <v>2744</v>
      </c>
      <c r="B682" t="s">
        <v>2745</v>
      </c>
      <c r="C682" t="s">
        <v>2746</v>
      </c>
      <c r="D682" t="s">
        <v>2747</v>
      </c>
      <c r="E682" t="s">
        <v>2748</v>
      </c>
      <c r="F682" t="s">
        <v>612</v>
      </c>
      <c r="G682" t="s">
        <v>613</v>
      </c>
      <c r="H682" t="s">
        <v>681</v>
      </c>
    </row>
    <row r="683" spans="1:8" x14ac:dyDescent="0.25">
      <c r="A683" t="s">
        <v>336</v>
      </c>
      <c r="B683" t="s">
        <v>2749</v>
      </c>
      <c r="C683" t="s">
        <v>768</v>
      </c>
      <c r="D683" t="s">
        <v>769</v>
      </c>
      <c r="F683" t="s">
        <v>612</v>
      </c>
      <c r="G683" t="s">
        <v>613</v>
      </c>
      <c r="H683" t="s">
        <v>655</v>
      </c>
    </row>
    <row r="684" spans="1:8" x14ac:dyDescent="0.25">
      <c r="A684" t="s">
        <v>2750</v>
      </c>
      <c r="B684" t="s">
        <v>2751</v>
      </c>
      <c r="C684" t="s">
        <v>749</v>
      </c>
      <c r="D684" t="s">
        <v>2752</v>
      </c>
      <c r="E684" t="s">
        <v>2753</v>
      </c>
      <c r="F684" t="s">
        <v>612</v>
      </c>
      <c r="G684" t="s">
        <v>613</v>
      </c>
      <c r="H684" t="s">
        <v>618</v>
      </c>
    </row>
    <row r="685" spans="1:8" x14ac:dyDescent="0.25">
      <c r="A685" t="s">
        <v>487</v>
      </c>
      <c r="B685" t="s">
        <v>2754</v>
      </c>
      <c r="C685" t="s">
        <v>744</v>
      </c>
      <c r="D685" t="s">
        <v>2755</v>
      </c>
      <c r="F685" t="s">
        <v>612</v>
      </c>
      <c r="G685" t="s">
        <v>613</v>
      </c>
      <c r="H685" t="s">
        <v>618</v>
      </c>
    </row>
    <row r="686" spans="1:8" x14ac:dyDescent="0.25">
      <c r="A686" t="s">
        <v>238</v>
      </c>
      <c r="B686" t="s">
        <v>2756</v>
      </c>
      <c r="C686" t="s">
        <v>86</v>
      </c>
      <c r="D686" t="s">
        <v>2757</v>
      </c>
      <c r="E686" t="s">
        <v>2758</v>
      </c>
      <c r="F686" t="s">
        <v>612</v>
      </c>
      <c r="G686" t="s">
        <v>613</v>
      </c>
      <c r="H686" t="s">
        <v>634</v>
      </c>
    </row>
    <row r="687" spans="1:8" x14ac:dyDescent="0.25">
      <c r="A687" t="s">
        <v>190</v>
      </c>
      <c r="B687" t="s">
        <v>2759</v>
      </c>
      <c r="C687" t="s">
        <v>673</v>
      </c>
      <c r="D687" t="s">
        <v>2760</v>
      </c>
      <c r="F687" t="s">
        <v>612</v>
      </c>
      <c r="G687" t="s">
        <v>613</v>
      </c>
      <c r="H687" t="s">
        <v>648</v>
      </c>
    </row>
    <row r="688" spans="1:8" x14ac:dyDescent="0.25">
      <c r="A688" t="s">
        <v>2761</v>
      </c>
      <c r="B688" t="s">
        <v>2762</v>
      </c>
      <c r="C688" t="s">
        <v>2763</v>
      </c>
      <c r="D688" t="s">
        <v>791</v>
      </c>
      <c r="E688" t="s">
        <v>2764</v>
      </c>
      <c r="F688" t="s">
        <v>612</v>
      </c>
      <c r="G688" t="s">
        <v>613</v>
      </c>
      <c r="H688" t="s">
        <v>634</v>
      </c>
    </row>
    <row r="689" spans="1:8" x14ac:dyDescent="0.25">
      <c r="A689" t="s">
        <v>2765</v>
      </c>
      <c r="B689" t="s">
        <v>2766</v>
      </c>
      <c r="C689" t="s">
        <v>836</v>
      </c>
      <c r="D689" t="s">
        <v>2767</v>
      </c>
      <c r="E689" t="s">
        <v>2768</v>
      </c>
      <c r="F689" t="s">
        <v>612</v>
      </c>
      <c r="G689" t="s">
        <v>613</v>
      </c>
      <c r="H689" t="s">
        <v>655</v>
      </c>
    </row>
    <row r="690" spans="1:8" x14ac:dyDescent="0.25">
      <c r="A690" t="s">
        <v>406</v>
      </c>
      <c r="B690" t="s">
        <v>2769</v>
      </c>
      <c r="C690" t="s">
        <v>752</v>
      </c>
      <c r="D690" t="s">
        <v>704</v>
      </c>
      <c r="F690" t="s">
        <v>612</v>
      </c>
      <c r="G690" t="s">
        <v>613</v>
      </c>
      <c r="H690" t="s">
        <v>618</v>
      </c>
    </row>
    <row r="691" spans="1:8" x14ac:dyDescent="0.25">
      <c r="A691" t="s">
        <v>408</v>
      </c>
      <c r="B691" t="s">
        <v>2770</v>
      </c>
      <c r="C691" t="s">
        <v>744</v>
      </c>
      <c r="D691" t="s">
        <v>704</v>
      </c>
      <c r="F691" t="s">
        <v>612</v>
      </c>
      <c r="G691" t="s">
        <v>613</v>
      </c>
      <c r="H691" t="s">
        <v>618</v>
      </c>
    </row>
    <row r="692" spans="1:8" x14ac:dyDescent="0.25">
      <c r="A692" t="s">
        <v>579</v>
      </c>
      <c r="B692" t="s">
        <v>2771</v>
      </c>
      <c r="C692" t="s">
        <v>1235</v>
      </c>
      <c r="D692" t="s">
        <v>977</v>
      </c>
      <c r="E692" t="s">
        <v>2772</v>
      </c>
      <c r="F692" t="s">
        <v>612</v>
      </c>
      <c r="G692" t="s">
        <v>613</v>
      </c>
      <c r="H692" t="s">
        <v>618</v>
      </c>
    </row>
    <row r="693" spans="1:8" x14ac:dyDescent="0.25">
      <c r="A693" t="s">
        <v>2773</v>
      </c>
      <c r="B693" t="s">
        <v>2774</v>
      </c>
      <c r="C693" t="s">
        <v>744</v>
      </c>
      <c r="D693" t="s">
        <v>2775</v>
      </c>
      <c r="E693" t="s">
        <v>2776</v>
      </c>
      <c r="F693" t="s">
        <v>612</v>
      </c>
      <c r="G693" t="s">
        <v>613</v>
      </c>
      <c r="H693" t="s">
        <v>618</v>
      </c>
    </row>
    <row r="694" spans="1:8" x14ac:dyDescent="0.25">
      <c r="A694" t="s">
        <v>2777</v>
      </c>
      <c r="B694" t="s">
        <v>2778</v>
      </c>
      <c r="C694" t="s">
        <v>2779</v>
      </c>
      <c r="D694" t="s">
        <v>2780</v>
      </c>
      <c r="E694" t="s">
        <v>2781</v>
      </c>
      <c r="F694" t="s">
        <v>612</v>
      </c>
      <c r="G694" t="s">
        <v>613</v>
      </c>
      <c r="H694" t="s">
        <v>618</v>
      </c>
    </row>
    <row r="695" spans="1:8" x14ac:dyDescent="0.25">
      <c r="A695" t="s">
        <v>460</v>
      </c>
      <c r="B695" t="s">
        <v>2782</v>
      </c>
      <c r="C695" t="s">
        <v>840</v>
      </c>
      <c r="D695" t="s">
        <v>2783</v>
      </c>
      <c r="E695" t="s">
        <v>2784</v>
      </c>
      <c r="F695" t="s">
        <v>612</v>
      </c>
      <c r="G695" t="s">
        <v>613</v>
      </c>
      <c r="H695" t="s">
        <v>618</v>
      </c>
    </row>
    <row r="696" spans="1:8" x14ac:dyDescent="0.25">
      <c r="A696" t="s">
        <v>532</v>
      </c>
      <c r="B696" t="s">
        <v>2787</v>
      </c>
      <c r="C696" t="s">
        <v>925</v>
      </c>
      <c r="D696" t="s">
        <v>2788</v>
      </c>
      <c r="E696" t="s">
        <v>2789</v>
      </c>
      <c r="F696" t="s">
        <v>612</v>
      </c>
      <c r="G696" t="s">
        <v>613</v>
      </c>
      <c r="H696" t="s">
        <v>618</v>
      </c>
    </row>
    <row r="697" spans="1:8" x14ac:dyDescent="0.25">
      <c r="A697" t="s">
        <v>2790</v>
      </c>
      <c r="B697" t="s">
        <v>2791</v>
      </c>
      <c r="C697" t="s">
        <v>1953</v>
      </c>
      <c r="D697" t="s">
        <v>2792</v>
      </c>
      <c r="E697" t="s">
        <v>2793</v>
      </c>
      <c r="F697" t="s">
        <v>612</v>
      </c>
      <c r="G697" t="s">
        <v>613</v>
      </c>
      <c r="H697" t="s">
        <v>681</v>
      </c>
    </row>
    <row r="698" spans="1:8" x14ac:dyDescent="0.25">
      <c r="A698" t="s">
        <v>2794</v>
      </c>
      <c r="B698" t="s">
        <v>2795</v>
      </c>
      <c r="C698" t="s">
        <v>836</v>
      </c>
      <c r="D698" t="s">
        <v>2796</v>
      </c>
      <c r="E698" t="s">
        <v>2797</v>
      </c>
      <c r="F698" t="s">
        <v>612</v>
      </c>
      <c r="G698" t="s">
        <v>613</v>
      </c>
      <c r="H698" t="s">
        <v>655</v>
      </c>
    </row>
    <row r="699" spans="1:8" x14ac:dyDescent="0.25">
      <c r="A699" t="s">
        <v>2798</v>
      </c>
      <c r="B699" t="s">
        <v>2799</v>
      </c>
      <c r="C699" t="s">
        <v>1012</v>
      </c>
      <c r="D699" t="s">
        <v>894</v>
      </c>
      <c r="F699" t="s">
        <v>612</v>
      </c>
      <c r="G699" t="s">
        <v>613</v>
      </c>
      <c r="H699" t="s">
        <v>618</v>
      </c>
    </row>
    <row r="700" spans="1:8" x14ac:dyDescent="0.25">
      <c r="A700" t="s">
        <v>2800</v>
      </c>
      <c r="B700" t="s">
        <v>2801</v>
      </c>
      <c r="C700" t="s">
        <v>621</v>
      </c>
      <c r="D700" t="s">
        <v>2802</v>
      </c>
      <c r="E700" t="s">
        <v>2803</v>
      </c>
      <c r="F700" t="s">
        <v>612</v>
      </c>
      <c r="G700" t="s">
        <v>613</v>
      </c>
      <c r="H700" t="s">
        <v>618</v>
      </c>
    </row>
    <row r="701" spans="1:8" x14ac:dyDescent="0.25">
      <c r="A701" t="s">
        <v>2804</v>
      </c>
      <c r="B701" t="s">
        <v>2805</v>
      </c>
      <c r="C701" t="s">
        <v>768</v>
      </c>
      <c r="D701" t="s">
        <v>769</v>
      </c>
      <c r="E701" t="s">
        <v>2806</v>
      </c>
      <c r="F701" t="s">
        <v>612</v>
      </c>
      <c r="G701" t="s">
        <v>613</v>
      </c>
      <c r="H701" t="s">
        <v>655</v>
      </c>
    </row>
    <row r="702" spans="1:8" x14ac:dyDescent="0.25">
      <c r="A702" t="s">
        <v>220</v>
      </c>
      <c r="B702" t="s">
        <v>2807</v>
      </c>
      <c r="C702" t="s">
        <v>86</v>
      </c>
      <c r="D702" t="s">
        <v>1424</v>
      </c>
      <c r="E702" t="s">
        <v>2808</v>
      </c>
      <c r="F702" t="s">
        <v>612</v>
      </c>
      <c r="G702" t="s">
        <v>613</v>
      </c>
      <c r="H702" t="s">
        <v>634</v>
      </c>
    </row>
    <row r="703" spans="1:8" x14ac:dyDescent="0.25">
      <c r="A703" t="s">
        <v>2809</v>
      </c>
      <c r="B703" t="s">
        <v>2810</v>
      </c>
      <c r="C703" t="s">
        <v>616</v>
      </c>
      <c r="D703" t="s">
        <v>2811</v>
      </c>
      <c r="E703" t="s">
        <v>2812</v>
      </c>
      <c r="F703" t="s">
        <v>612</v>
      </c>
      <c r="G703" t="s">
        <v>613</v>
      </c>
      <c r="H703" t="s">
        <v>618</v>
      </c>
    </row>
    <row r="704" spans="1:8" x14ac:dyDescent="0.25">
      <c r="A704" t="s">
        <v>2813</v>
      </c>
      <c r="B704" t="s">
        <v>2814</v>
      </c>
      <c r="C704" t="s">
        <v>616</v>
      </c>
      <c r="D704" t="s">
        <v>2815</v>
      </c>
      <c r="E704" t="s">
        <v>2816</v>
      </c>
      <c r="F704" t="s">
        <v>612</v>
      </c>
      <c r="G704" t="s">
        <v>613</v>
      </c>
      <c r="H704" t="s">
        <v>618</v>
      </c>
    </row>
    <row r="705" spans="1:8" x14ac:dyDescent="0.25">
      <c r="A705" t="s">
        <v>482</v>
      </c>
      <c r="B705" t="s">
        <v>2817</v>
      </c>
      <c r="C705" t="s">
        <v>700</v>
      </c>
      <c r="D705" t="s">
        <v>2225</v>
      </c>
      <c r="E705" t="s">
        <v>2818</v>
      </c>
      <c r="F705" t="s">
        <v>612</v>
      </c>
      <c r="G705" t="s">
        <v>613</v>
      </c>
      <c r="H705" t="s">
        <v>618</v>
      </c>
    </row>
    <row r="706" spans="1:8" x14ac:dyDescent="0.25">
      <c r="A706" t="s">
        <v>2819</v>
      </c>
      <c r="B706" t="s">
        <v>2820</v>
      </c>
      <c r="C706" t="s">
        <v>2821</v>
      </c>
      <c r="D706" t="s">
        <v>2822</v>
      </c>
      <c r="E706" t="s">
        <v>2823</v>
      </c>
      <c r="F706" t="s">
        <v>612</v>
      </c>
      <c r="G706" t="s">
        <v>613</v>
      </c>
      <c r="H706" t="s">
        <v>618</v>
      </c>
    </row>
    <row r="707" spans="1:8" x14ac:dyDescent="0.25">
      <c r="A707" t="s">
        <v>201</v>
      </c>
      <c r="B707" t="s">
        <v>2824</v>
      </c>
      <c r="C707" t="s">
        <v>168</v>
      </c>
      <c r="D707" t="s">
        <v>2289</v>
      </c>
      <c r="E707" t="s">
        <v>2825</v>
      </c>
      <c r="F707" t="s">
        <v>612</v>
      </c>
      <c r="G707" t="s">
        <v>613</v>
      </c>
      <c r="H707" t="s">
        <v>655</v>
      </c>
    </row>
    <row r="708" spans="1:8" x14ac:dyDescent="0.25">
      <c r="A708" t="s">
        <v>101</v>
      </c>
      <c r="B708" t="s">
        <v>2826</v>
      </c>
      <c r="C708" t="s">
        <v>914</v>
      </c>
      <c r="D708" t="s">
        <v>769</v>
      </c>
      <c r="E708" t="s">
        <v>2827</v>
      </c>
      <c r="F708" t="s">
        <v>612</v>
      </c>
      <c r="G708" t="s">
        <v>613</v>
      </c>
      <c r="H708" t="s">
        <v>655</v>
      </c>
    </row>
    <row r="709" spans="1:8" x14ac:dyDescent="0.25">
      <c r="A709" t="s">
        <v>350</v>
      </c>
      <c r="B709" t="s">
        <v>2828</v>
      </c>
      <c r="C709" t="s">
        <v>768</v>
      </c>
      <c r="D709" t="s">
        <v>769</v>
      </c>
      <c r="E709" t="s">
        <v>2829</v>
      </c>
      <c r="F709" t="s">
        <v>612</v>
      </c>
      <c r="G709" t="s">
        <v>613</v>
      </c>
      <c r="H709" t="s">
        <v>655</v>
      </c>
    </row>
    <row r="710" spans="1:8" x14ac:dyDescent="0.25">
      <c r="A710" t="s">
        <v>132</v>
      </c>
      <c r="B710" t="s">
        <v>2830</v>
      </c>
      <c r="C710" t="s">
        <v>700</v>
      </c>
      <c r="D710" t="s">
        <v>2831</v>
      </c>
      <c r="E710" t="s">
        <v>2832</v>
      </c>
      <c r="F710" t="s">
        <v>612</v>
      </c>
      <c r="G710" t="s">
        <v>613</v>
      </c>
      <c r="H710" t="s">
        <v>618</v>
      </c>
    </row>
    <row r="711" spans="1:8" x14ac:dyDescent="0.25">
      <c r="A711" t="s">
        <v>2833</v>
      </c>
      <c r="B711" t="s">
        <v>2834</v>
      </c>
      <c r="C711" t="s">
        <v>616</v>
      </c>
      <c r="D711" t="s">
        <v>2094</v>
      </c>
      <c r="E711" t="s">
        <v>2835</v>
      </c>
      <c r="F711" t="s">
        <v>612</v>
      </c>
      <c r="G711" t="s">
        <v>613</v>
      </c>
      <c r="H711" t="s">
        <v>618</v>
      </c>
    </row>
    <row r="712" spans="1:8" x14ac:dyDescent="0.25">
      <c r="A712" t="s">
        <v>2836</v>
      </c>
      <c r="B712" t="s">
        <v>2837</v>
      </c>
      <c r="C712" t="s">
        <v>616</v>
      </c>
      <c r="D712" t="s">
        <v>617</v>
      </c>
      <c r="F712" t="s">
        <v>612</v>
      </c>
      <c r="G712" t="s">
        <v>613</v>
      </c>
      <c r="H712" t="s">
        <v>618</v>
      </c>
    </row>
    <row r="713" spans="1:8" x14ac:dyDescent="0.25">
      <c r="A713" t="s">
        <v>433</v>
      </c>
      <c r="B713" t="s">
        <v>2838</v>
      </c>
      <c r="C713" t="s">
        <v>700</v>
      </c>
      <c r="D713" t="s">
        <v>2839</v>
      </c>
      <c r="E713" t="s">
        <v>2840</v>
      </c>
      <c r="F713" t="s">
        <v>612</v>
      </c>
      <c r="G713" t="s">
        <v>613</v>
      </c>
      <c r="H713" t="s">
        <v>618</v>
      </c>
    </row>
    <row r="714" spans="1:8" x14ac:dyDescent="0.25">
      <c r="A714" t="s">
        <v>2841</v>
      </c>
      <c r="B714" t="s">
        <v>2842</v>
      </c>
      <c r="C714" t="s">
        <v>1368</v>
      </c>
      <c r="D714" t="s">
        <v>2715</v>
      </c>
      <c r="F714" t="s">
        <v>612</v>
      </c>
      <c r="G714" t="s">
        <v>613</v>
      </c>
      <c r="H714" t="s">
        <v>655</v>
      </c>
    </row>
    <row r="715" spans="1:8" x14ac:dyDescent="0.25">
      <c r="A715" t="s">
        <v>153</v>
      </c>
      <c r="B715" t="s">
        <v>2843</v>
      </c>
      <c r="C715" t="s">
        <v>1603</v>
      </c>
      <c r="D715" t="s">
        <v>2070</v>
      </c>
      <c r="E715" t="s">
        <v>2844</v>
      </c>
      <c r="F715" t="s">
        <v>612</v>
      </c>
      <c r="G715" t="s">
        <v>613</v>
      </c>
      <c r="H715" t="s">
        <v>618</v>
      </c>
    </row>
    <row r="716" spans="1:8" x14ac:dyDescent="0.25">
      <c r="A716" t="s">
        <v>2845</v>
      </c>
      <c r="B716" t="s">
        <v>2846</v>
      </c>
      <c r="C716" t="s">
        <v>700</v>
      </c>
      <c r="D716" t="s">
        <v>2847</v>
      </c>
      <c r="E716" t="s">
        <v>2848</v>
      </c>
      <c r="F716" t="s">
        <v>612</v>
      </c>
      <c r="G716" t="s">
        <v>613</v>
      </c>
      <c r="H716" t="s">
        <v>618</v>
      </c>
    </row>
    <row r="717" spans="1:8" x14ac:dyDescent="0.25">
      <c r="A717" t="s">
        <v>2849</v>
      </c>
      <c r="B717" t="s">
        <v>2850</v>
      </c>
      <c r="C717" t="s">
        <v>749</v>
      </c>
      <c r="D717" t="s">
        <v>2851</v>
      </c>
      <c r="E717" t="s">
        <v>2852</v>
      </c>
      <c r="F717" t="s">
        <v>612</v>
      </c>
      <c r="G717" t="s">
        <v>613</v>
      </c>
      <c r="H717" t="s">
        <v>618</v>
      </c>
    </row>
    <row r="718" spans="1:8" x14ac:dyDescent="0.25">
      <c r="A718" t="s">
        <v>2853</v>
      </c>
      <c r="B718" t="s">
        <v>2854</v>
      </c>
      <c r="C718" t="s">
        <v>673</v>
      </c>
      <c r="D718" t="s">
        <v>1153</v>
      </c>
      <c r="E718" t="s">
        <v>2855</v>
      </c>
      <c r="F718" t="s">
        <v>612</v>
      </c>
      <c r="G718" t="s">
        <v>613</v>
      </c>
      <c r="H718" t="s">
        <v>648</v>
      </c>
    </row>
    <row r="719" spans="1:8" x14ac:dyDescent="0.25">
      <c r="A719" t="s">
        <v>152</v>
      </c>
      <c r="B719" t="s">
        <v>2856</v>
      </c>
      <c r="C719" t="s">
        <v>1368</v>
      </c>
      <c r="D719" t="s">
        <v>2857</v>
      </c>
      <c r="E719" t="s">
        <v>2858</v>
      </c>
      <c r="F719" t="s">
        <v>612</v>
      </c>
      <c r="G719" t="s">
        <v>613</v>
      </c>
      <c r="H719" t="s">
        <v>655</v>
      </c>
    </row>
    <row r="720" spans="1:8" x14ac:dyDescent="0.25">
      <c r="A720" t="s">
        <v>481</v>
      </c>
      <c r="B720" t="s">
        <v>2859</v>
      </c>
      <c r="C720" t="s">
        <v>616</v>
      </c>
      <c r="D720" t="s">
        <v>2860</v>
      </c>
      <c r="E720" t="s">
        <v>2861</v>
      </c>
      <c r="F720" t="s">
        <v>612</v>
      </c>
      <c r="G720" t="s">
        <v>613</v>
      </c>
      <c r="H720" t="s">
        <v>618</v>
      </c>
    </row>
    <row r="721" spans="1:8" x14ac:dyDescent="0.25">
      <c r="A721" t="s">
        <v>2862</v>
      </c>
      <c r="B721" t="s">
        <v>2863</v>
      </c>
      <c r="E721" t="s">
        <v>2864</v>
      </c>
      <c r="F721" t="s">
        <v>612</v>
      </c>
      <c r="G721" t="s">
        <v>613</v>
      </c>
      <c r="H721" t="s">
        <v>618</v>
      </c>
    </row>
    <row r="722" spans="1:8" x14ac:dyDescent="0.25">
      <c r="A722" t="s">
        <v>349</v>
      </c>
      <c r="B722" t="s">
        <v>2865</v>
      </c>
      <c r="C722" t="s">
        <v>768</v>
      </c>
      <c r="D722" t="s">
        <v>769</v>
      </c>
      <c r="E722" t="s">
        <v>2866</v>
      </c>
      <c r="F722" t="s">
        <v>612</v>
      </c>
      <c r="G722" t="s">
        <v>613</v>
      </c>
      <c r="H722" t="s">
        <v>655</v>
      </c>
    </row>
    <row r="723" spans="1:8" x14ac:dyDescent="0.25">
      <c r="A723" t="s">
        <v>2867</v>
      </c>
      <c r="B723" t="s">
        <v>2868</v>
      </c>
      <c r="C723" t="s">
        <v>102</v>
      </c>
      <c r="D723" t="s">
        <v>2366</v>
      </c>
      <c r="E723" t="s">
        <v>2869</v>
      </c>
      <c r="F723" t="s">
        <v>612</v>
      </c>
      <c r="G723" t="s">
        <v>613</v>
      </c>
      <c r="H723" t="s">
        <v>655</v>
      </c>
    </row>
    <row r="724" spans="1:8" x14ac:dyDescent="0.25">
      <c r="A724" t="s">
        <v>342</v>
      </c>
      <c r="B724" t="s">
        <v>2870</v>
      </c>
      <c r="C724" t="s">
        <v>2871</v>
      </c>
      <c r="D724" t="s">
        <v>1113</v>
      </c>
      <c r="E724" t="s">
        <v>2872</v>
      </c>
      <c r="F724" t="s">
        <v>612</v>
      </c>
      <c r="G724" t="s">
        <v>613</v>
      </c>
      <c r="H724" t="s">
        <v>648</v>
      </c>
    </row>
    <row r="725" spans="1:8" x14ac:dyDescent="0.25">
      <c r="A725" t="s">
        <v>2873</v>
      </c>
      <c r="B725" t="s">
        <v>2874</v>
      </c>
      <c r="C725" t="s">
        <v>678</v>
      </c>
      <c r="D725" t="s">
        <v>2875</v>
      </c>
      <c r="E725" t="s">
        <v>2876</v>
      </c>
      <c r="F725" t="s">
        <v>612</v>
      </c>
      <c r="G725" t="s">
        <v>613</v>
      </c>
      <c r="H725" t="s">
        <v>681</v>
      </c>
    </row>
    <row r="726" spans="1:8" x14ac:dyDescent="0.25">
      <c r="A726" t="s">
        <v>566</v>
      </c>
      <c r="B726" t="s">
        <v>2877</v>
      </c>
      <c r="C726" t="s">
        <v>752</v>
      </c>
      <c r="D726" t="s">
        <v>2878</v>
      </c>
      <c r="E726" t="s">
        <v>2879</v>
      </c>
      <c r="F726" t="s">
        <v>612</v>
      </c>
      <c r="G726" t="s">
        <v>613</v>
      </c>
      <c r="H726" t="s">
        <v>618</v>
      </c>
    </row>
    <row r="727" spans="1:8" x14ac:dyDescent="0.25">
      <c r="A727" t="s">
        <v>2880</v>
      </c>
      <c r="B727" t="s">
        <v>2881</v>
      </c>
      <c r="E727" t="s">
        <v>2882</v>
      </c>
      <c r="F727" t="s">
        <v>612</v>
      </c>
      <c r="G727" t="s">
        <v>613</v>
      </c>
      <c r="H727" t="s">
        <v>655</v>
      </c>
    </row>
    <row r="728" spans="1:8" x14ac:dyDescent="0.25">
      <c r="A728" t="s">
        <v>490</v>
      </c>
      <c r="B728" t="s">
        <v>2883</v>
      </c>
      <c r="C728" t="s">
        <v>700</v>
      </c>
      <c r="D728" t="s">
        <v>2606</v>
      </c>
      <c r="E728" t="s">
        <v>2884</v>
      </c>
      <c r="F728" t="s">
        <v>612</v>
      </c>
      <c r="G728" t="s">
        <v>613</v>
      </c>
      <c r="H728" t="s">
        <v>618</v>
      </c>
    </row>
    <row r="729" spans="1:8" x14ac:dyDescent="0.25">
      <c r="A729" t="s">
        <v>2885</v>
      </c>
      <c r="B729" t="s">
        <v>2886</v>
      </c>
      <c r="C729" t="s">
        <v>640</v>
      </c>
      <c r="D729" t="s">
        <v>2887</v>
      </c>
      <c r="E729" t="s">
        <v>2888</v>
      </c>
      <c r="F729" t="s">
        <v>612</v>
      </c>
      <c r="G729" t="s">
        <v>613</v>
      </c>
      <c r="H729" t="s">
        <v>618</v>
      </c>
    </row>
    <row r="730" spans="1:8" x14ac:dyDescent="0.25">
      <c r="A730" t="s">
        <v>2889</v>
      </c>
      <c r="B730" t="s">
        <v>2890</v>
      </c>
      <c r="C730" t="s">
        <v>173</v>
      </c>
      <c r="D730" t="s">
        <v>2540</v>
      </c>
      <c r="F730" t="s">
        <v>612</v>
      </c>
      <c r="G730" t="s">
        <v>613</v>
      </c>
      <c r="H730" t="s">
        <v>628</v>
      </c>
    </row>
    <row r="731" spans="1:8" x14ac:dyDescent="0.25">
      <c r="A731" t="s">
        <v>160</v>
      </c>
      <c r="B731" t="s">
        <v>2891</v>
      </c>
      <c r="C731" t="s">
        <v>1849</v>
      </c>
      <c r="D731" t="s">
        <v>867</v>
      </c>
      <c r="F731" t="s">
        <v>612</v>
      </c>
      <c r="G731" t="s">
        <v>613</v>
      </c>
      <c r="H731" t="s">
        <v>655</v>
      </c>
    </row>
    <row r="732" spans="1:8" x14ac:dyDescent="0.25">
      <c r="A732" t="s">
        <v>2892</v>
      </c>
      <c r="B732" t="s">
        <v>2893</v>
      </c>
      <c r="C732" t="s">
        <v>673</v>
      </c>
      <c r="D732" t="s">
        <v>2894</v>
      </c>
      <c r="E732" t="s">
        <v>2895</v>
      </c>
      <c r="F732" t="s">
        <v>612</v>
      </c>
      <c r="G732" t="s">
        <v>613</v>
      </c>
      <c r="H732" t="s">
        <v>648</v>
      </c>
    </row>
    <row r="733" spans="1:8" x14ac:dyDescent="0.25">
      <c r="A733" t="s">
        <v>2896</v>
      </c>
      <c r="B733" t="s">
        <v>2897</v>
      </c>
      <c r="C733" t="s">
        <v>749</v>
      </c>
      <c r="D733" t="s">
        <v>1038</v>
      </c>
      <c r="E733" t="s">
        <v>2898</v>
      </c>
      <c r="F733" t="s">
        <v>612</v>
      </c>
      <c r="G733" t="s">
        <v>613</v>
      </c>
      <c r="H733" t="s">
        <v>618</v>
      </c>
    </row>
    <row r="734" spans="1:8" x14ac:dyDescent="0.25">
      <c r="A734" t="s">
        <v>541</v>
      </c>
      <c r="B734" t="s">
        <v>2899</v>
      </c>
      <c r="C734" t="s">
        <v>703</v>
      </c>
      <c r="D734" t="s">
        <v>2058</v>
      </c>
      <c r="E734" t="s">
        <v>2900</v>
      </c>
      <c r="F734" t="s">
        <v>612</v>
      </c>
      <c r="G734" t="s">
        <v>613</v>
      </c>
      <c r="H734" t="s">
        <v>618</v>
      </c>
    </row>
    <row r="735" spans="1:8" x14ac:dyDescent="0.25">
      <c r="A735" t="s">
        <v>2901</v>
      </c>
      <c r="B735" t="s">
        <v>2902</v>
      </c>
      <c r="C735" t="s">
        <v>700</v>
      </c>
      <c r="D735" t="s">
        <v>1248</v>
      </c>
      <c r="F735" t="s">
        <v>612</v>
      </c>
      <c r="G735" t="s">
        <v>613</v>
      </c>
      <c r="H735" t="s">
        <v>618</v>
      </c>
    </row>
    <row r="736" spans="1:8" x14ac:dyDescent="0.25">
      <c r="A736" t="s">
        <v>385</v>
      </c>
      <c r="B736" t="s">
        <v>2903</v>
      </c>
      <c r="C736" t="s">
        <v>1190</v>
      </c>
      <c r="D736" t="s">
        <v>2527</v>
      </c>
      <c r="E736" t="s">
        <v>2904</v>
      </c>
      <c r="F736" t="s">
        <v>612</v>
      </c>
      <c r="G736" t="s">
        <v>613</v>
      </c>
      <c r="H736" t="s">
        <v>618</v>
      </c>
    </row>
    <row r="737" spans="1:8" x14ac:dyDescent="0.25">
      <c r="A737" t="s">
        <v>2905</v>
      </c>
      <c r="B737" t="s">
        <v>2906</v>
      </c>
      <c r="E737" t="s">
        <v>2907</v>
      </c>
      <c r="F737" t="s">
        <v>612</v>
      </c>
      <c r="G737" t="s">
        <v>613</v>
      </c>
      <c r="H737" t="s">
        <v>618</v>
      </c>
    </row>
    <row r="738" spans="1:8" x14ac:dyDescent="0.25">
      <c r="A738" t="s">
        <v>2908</v>
      </c>
      <c r="B738" t="s">
        <v>2909</v>
      </c>
      <c r="C738" t="s">
        <v>621</v>
      </c>
      <c r="D738" t="s">
        <v>2910</v>
      </c>
      <c r="E738" t="s">
        <v>2911</v>
      </c>
      <c r="F738" t="s">
        <v>612</v>
      </c>
      <c r="G738" t="s">
        <v>613</v>
      </c>
      <c r="H738" t="s">
        <v>618</v>
      </c>
    </row>
    <row r="739" spans="1:8" x14ac:dyDescent="0.25">
      <c r="A739" t="s">
        <v>2912</v>
      </c>
      <c r="B739" t="s">
        <v>2913</v>
      </c>
      <c r="C739" t="s">
        <v>1434</v>
      </c>
      <c r="D739" t="s">
        <v>2914</v>
      </c>
      <c r="E739" t="s">
        <v>2915</v>
      </c>
      <c r="F739" t="s">
        <v>612</v>
      </c>
      <c r="G739" t="s">
        <v>613</v>
      </c>
      <c r="H739" t="s">
        <v>648</v>
      </c>
    </row>
    <row r="740" spans="1:8" x14ac:dyDescent="0.25">
      <c r="A740" t="s">
        <v>18</v>
      </c>
      <c r="B740" t="s">
        <v>2916</v>
      </c>
      <c r="C740" t="s">
        <v>700</v>
      </c>
      <c r="D740" t="s">
        <v>2917</v>
      </c>
      <c r="E740" t="s">
        <v>2918</v>
      </c>
      <c r="F740" t="s">
        <v>612</v>
      </c>
      <c r="G740" t="s">
        <v>613</v>
      </c>
      <c r="H740" t="s">
        <v>618</v>
      </c>
    </row>
    <row r="741" spans="1:8" x14ac:dyDescent="0.25">
      <c r="A741" t="s">
        <v>583</v>
      </c>
      <c r="B741" t="s">
        <v>2919</v>
      </c>
      <c r="C741" t="s">
        <v>752</v>
      </c>
      <c r="D741" t="s">
        <v>958</v>
      </c>
      <c r="E741" t="s">
        <v>2920</v>
      </c>
      <c r="F741" t="s">
        <v>612</v>
      </c>
      <c r="G741" t="s">
        <v>613</v>
      </c>
      <c r="H741" t="s">
        <v>618</v>
      </c>
    </row>
    <row r="742" spans="1:8" x14ac:dyDescent="0.25">
      <c r="A742" t="s">
        <v>497</v>
      </c>
      <c r="B742" t="s">
        <v>2921</v>
      </c>
      <c r="C742" t="s">
        <v>2922</v>
      </c>
      <c r="D742" t="s">
        <v>2923</v>
      </c>
      <c r="E742" t="s">
        <v>2924</v>
      </c>
      <c r="F742" t="s">
        <v>612</v>
      </c>
      <c r="G742" t="s">
        <v>613</v>
      </c>
      <c r="H742" t="s">
        <v>618</v>
      </c>
    </row>
    <row r="743" spans="1:8" x14ac:dyDescent="0.25">
      <c r="A743" t="s">
        <v>2925</v>
      </c>
      <c r="B743" t="s">
        <v>2926</v>
      </c>
      <c r="C743" t="s">
        <v>700</v>
      </c>
      <c r="D743" t="s">
        <v>2927</v>
      </c>
      <c r="F743" t="s">
        <v>612</v>
      </c>
      <c r="G743" t="s">
        <v>613</v>
      </c>
      <c r="H743" t="s">
        <v>618</v>
      </c>
    </row>
    <row r="744" spans="1:8" x14ac:dyDescent="0.25">
      <c r="A744" t="s">
        <v>2928</v>
      </c>
      <c r="B744" t="s">
        <v>2929</v>
      </c>
      <c r="C744" t="s">
        <v>1434</v>
      </c>
      <c r="D744" t="s">
        <v>2165</v>
      </c>
      <c r="F744" t="s">
        <v>612</v>
      </c>
      <c r="G744" t="s">
        <v>613</v>
      </c>
      <c r="H744" t="s">
        <v>628</v>
      </c>
    </row>
    <row r="745" spans="1:8" x14ac:dyDescent="0.25">
      <c r="A745" t="s">
        <v>2930</v>
      </c>
      <c r="B745" t="s">
        <v>2931</v>
      </c>
      <c r="C745" t="s">
        <v>752</v>
      </c>
      <c r="D745" t="s">
        <v>1175</v>
      </c>
      <c r="F745" t="s">
        <v>612</v>
      </c>
      <c r="G745" t="s">
        <v>613</v>
      </c>
      <c r="H745" t="s">
        <v>618</v>
      </c>
    </row>
    <row r="746" spans="1:8" x14ac:dyDescent="0.25">
      <c r="A746" t="s">
        <v>2932</v>
      </c>
      <c r="B746" t="s">
        <v>2933</v>
      </c>
      <c r="C746" t="s">
        <v>1278</v>
      </c>
      <c r="D746" t="s">
        <v>769</v>
      </c>
      <c r="E746" t="s">
        <v>2934</v>
      </c>
      <c r="F746" t="s">
        <v>612</v>
      </c>
      <c r="G746" t="s">
        <v>613</v>
      </c>
      <c r="H746" t="s">
        <v>618</v>
      </c>
    </row>
    <row r="747" spans="1:8" x14ac:dyDescent="0.25">
      <c r="A747" t="s">
        <v>2935</v>
      </c>
      <c r="B747" t="s">
        <v>2936</v>
      </c>
      <c r="C747" t="s">
        <v>744</v>
      </c>
      <c r="D747" t="s">
        <v>2937</v>
      </c>
      <c r="E747" t="s">
        <v>2938</v>
      </c>
      <c r="F747" t="s">
        <v>612</v>
      </c>
      <c r="G747" t="s">
        <v>613</v>
      </c>
      <c r="H747" t="s">
        <v>618</v>
      </c>
    </row>
    <row r="748" spans="1:8" x14ac:dyDescent="0.25">
      <c r="A748" t="s">
        <v>2939</v>
      </c>
      <c r="B748" t="s">
        <v>2940</v>
      </c>
      <c r="E748" t="s">
        <v>2941</v>
      </c>
      <c r="F748" t="s">
        <v>612</v>
      </c>
      <c r="G748" t="s">
        <v>613</v>
      </c>
      <c r="H748" t="s">
        <v>618</v>
      </c>
    </row>
    <row r="749" spans="1:8" x14ac:dyDescent="0.25">
      <c r="A749" t="s">
        <v>2942</v>
      </c>
      <c r="B749" t="s">
        <v>2943</v>
      </c>
      <c r="C749" t="s">
        <v>610</v>
      </c>
      <c r="D749" t="s">
        <v>2944</v>
      </c>
      <c r="E749" t="s">
        <v>2945</v>
      </c>
      <c r="F749" t="s">
        <v>612</v>
      </c>
      <c r="G749" t="s">
        <v>613</v>
      </c>
      <c r="H749" t="s">
        <v>648</v>
      </c>
    </row>
    <row r="750" spans="1:8" x14ac:dyDescent="0.25">
      <c r="A750" t="s">
        <v>2946</v>
      </c>
      <c r="B750" t="s">
        <v>2947</v>
      </c>
      <c r="C750" t="s">
        <v>749</v>
      </c>
      <c r="D750" t="s">
        <v>2948</v>
      </c>
      <c r="E750" t="s">
        <v>2949</v>
      </c>
      <c r="F750" t="s">
        <v>612</v>
      </c>
      <c r="G750" t="s">
        <v>613</v>
      </c>
      <c r="H750" t="s">
        <v>618</v>
      </c>
    </row>
    <row r="751" spans="1:8" x14ac:dyDescent="0.25">
      <c r="A751" t="s">
        <v>2950</v>
      </c>
      <c r="B751" t="s">
        <v>2951</v>
      </c>
      <c r="C751" t="s">
        <v>1033</v>
      </c>
      <c r="D751" t="s">
        <v>2952</v>
      </c>
      <c r="E751" t="s">
        <v>2953</v>
      </c>
      <c r="F751" t="s">
        <v>612</v>
      </c>
      <c r="G751" t="s">
        <v>613</v>
      </c>
      <c r="H751" t="s">
        <v>655</v>
      </c>
    </row>
    <row r="752" spans="1:8" x14ac:dyDescent="0.25">
      <c r="A752" t="s">
        <v>2954</v>
      </c>
      <c r="B752" t="s">
        <v>2955</v>
      </c>
      <c r="C752" t="s">
        <v>102</v>
      </c>
      <c r="D752" t="s">
        <v>2956</v>
      </c>
      <c r="E752" t="s">
        <v>2957</v>
      </c>
      <c r="F752" t="s">
        <v>612</v>
      </c>
      <c r="G752" t="s">
        <v>613</v>
      </c>
      <c r="H752" t="s">
        <v>655</v>
      </c>
    </row>
    <row r="753" spans="1:8" x14ac:dyDescent="0.25">
      <c r="A753" t="s">
        <v>2958</v>
      </c>
      <c r="B753" t="s">
        <v>2959</v>
      </c>
      <c r="C753" t="s">
        <v>749</v>
      </c>
      <c r="D753" t="s">
        <v>2960</v>
      </c>
      <c r="E753" t="s">
        <v>2961</v>
      </c>
      <c r="F753" t="s">
        <v>612</v>
      </c>
      <c r="G753" t="s">
        <v>613</v>
      </c>
      <c r="H753" t="s">
        <v>618</v>
      </c>
    </row>
    <row r="754" spans="1:8" x14ac:dyDescent="0.25">
      <c r="A754" t="s">
        <v>2962</v>
      </c>
      <c r="B754" t="s">
        <v>2963</v>
      </c>
      <c r="C754" t="s">
        <v>744</v>
      </c>
      <c r="D754" t="s">
        <v>1217</v>
      </c>
      <c r="E754" t="s">
        <v>2964</v>
      </c>
      <c r="F754" t="s">
        <v>612</v>
      </c>
      <c r="G754" t="s">
        <v>613</v>
      </c>
      <c r="H754" t="s">
        <v>618</v>
      </c>
    </row>
    <row r="755" spans="1:8" x14ac:dyDescent="0.25">
      <c r="A755" t="s">
        <v>2965</v>
      </c>
      <c r="B755" t="s">
        <v>2966</v>
      </c>
      <c r="C755" t="s">
        <v>173</v>
      </c>
      <c r="D755" t="s">
        <v>2967</v>
      </c>
      <c r="E755" t="s">
        <v>2968</v>
      </c>
      <c r="F755" t="s">
        <v>612</v>
      </c>
      <c r="G755" t="s">
        <v>613</v>
      </c>
      <c r="H755" t="s">
        <v>628</v>
      </c>
    </row>
    <row r="756" spans="1:8" x14ac:dyDescent="0.25">
      <c r="A756" t="s">
        <v>2969</v>
      </c>
      <c r="B756" t="s">
        <v>2970</v>
      </c>
      <c r="C756" t="s">
        <v>2971</v>
      </c>
      <c r="D756" t="s">
        <v>2972</v>
      </c>
      <c r="E756" t="s">
        <v>2973</v>
      </c>
      <c r="F756" t="s">
        <v>612</v>
      </c>
      <c r="G756" t="s">
        <v>613</v>
      </c>
      <c r="H756" t="s">
        <v>648</v>
      </c>
    </row>
    <row r="757" spans="1:8" x14ac:dyDescent="0.25">
      <c r="A757" t="s">
        <v>2974</v>
      </c>
      <c r="B757" t="s">
        <v>2975</v>
      </c>
      <c r="C757" t="s">
        <v>168</v>
      </c>
      <c r="D757" t="s">
        <v>2976</v>
      </c>
      <c r="F757" t="s">
        <v>612</v>
      </c>
      <c r="G757" t="s">
        <v>613</v>
      </c>
      <c r="H757" t="s">
        <v>655</v>
      </c>
    </row>
    <row r="758" spans="1:8" x14ac:dyDescent="0.25">
      <c r="A758" t="s">
        <v>2977</v>
      </c>
      <c r="B758" t="s">
        <v>2978</v>
      </c>
      <c r="C758" t="s">
        <v>616</v>
      </c>
      <c r="D758" t="s">
        <v>2979</v>
      </c>
      <c r="E758" t="s">
        <v>2980</v>
      </c>
      <c r="F758" t="s">
        <v>612</v>
      </c>
      <c r="G758" t="s">
        <v>613</v>
      </c>
      <c r="H758" t="s">
        <v>618</v>
      </c>
    </row>
    <row r="759" spans="1:8" x14ac:dyDescent="0.25">
      <c r="A759" t="s">
        <v>2981</v>
      </c>
      <c r="B759" t="s">
        <v>2982</v>
      </c>
      <c r="C759" t="s">
        <v>2561</v>
      </c>
      <c r="D759" t="s">
        <v>1041</v>
      </c>
      <c r="E759" t="s">
        <v>2983</v>
      </c>
      <c r="F759" t="s">
        <v>612</v>
      </c>
      <c r="G759" t="s">
        <v>613</v>
      </c>
      <c r="H759" t="s">
        <v>648</v>
      </c>
    </row>
    <row r="760" spans="1:8" x14ac:dyDescent="0.25">
      <c r="A760" t="s">
        <v>530</v>
      </c>
      <c r="B760" t="s">
        <v>2984</v>
      </c>
      <c r="C760" t="s">
        <v>749</v>
      </c>
      <c r="D760" t="s">
        <v>2985</v>
      </c>
      <c r="F760" t="s">
        <v>612</v>
      </c>
      <c r="G760" t="s">
        <v>613</v>
      </c>
      <c r="H760" t="s">
        <v>618</v>
      </c>
    </row>
    <row r="761" spans="1:8" x14ac:dyDescent="0.25">
      <c r="A761" t="s">
        <v>530</v>
      </c>
      <c r="B761" t="s">
        <v>2986</v>
      </c>
      <c r="C761" t="s">
        <v>616</v>
      </c>
      <c r="D761" t="s">
        <v>728</v>
      </c>
      <c r="F761" t="s">
        <v>612</v>
      </c>
      <c r="G761" t="s">
        <v>613</v>
      </c>
      <c r="H761" t="s">
        <v>618</v>
      </c>
    </row>
    <row r="762" spans="1:8" x14ac:dyDescent="0.25">
      <c r="A762" t="s">
        <v>2987</v>
      </c>
      <c r="B762" t="s">
        <v>2988</v>
      </c>
      <c r="C762" t="s">
        <v>211</v>
      </c>
      <c r="D762" t="s">
        <v>1020</v>
      </c>
      <c r="F762" t="s">
        <v>612</v>
      </c>
      <c r="G762" t="s">
        <v>613</v>
      </c>
      <c r="H762" t="s">
        <v>634</v>
      </c>
    </row>
    <row r="763" spans="1:8" x14ac:dyDescent="0.25">
      <c r="A763" t="s">
        <v>2989</v>
      </c>
      <c r="B763" t="s">
        <v>2990</v>
      </c>
      <c r="C763" t="s">
        <v>749</v>
      </c>
      <c r="D763" t="s">
        <v>2985</v>
      </c>
      <c r="F763" t="s">
        <v>612</v>
      </c>
      <c r="G763" t="s">
        <v>613</v>
      </c>
      <c r="H763" t="s">
        <v>618</v>
      </c>
    </row>
    <row r="764" spans="1:8" x14ac:dyDescent="0.25">
      <c r="A764" t="s">
        <v>264</v>
      </c>
      <c r="B764" t="s">
        <v>2991</v>
      </c>
      <c r="C764" t="s">
        <v>86</v>
      </c>
      <c r="D764" t="s">
        <v>2084</v>
      </c>
      <c r="E764" t="s">
        <v>2992</v>
      </c>
      <c r="F764" t="s">
        <v>612</v>
      </c>
      <c r="G764" t="s">
        <v>613</v>
      </c>
      <c r="H764" t="s">
        <v>634</v>
      </c>
    </row>
    <row r="765" spans="1:8" x14ac:dyDescent="0.25">
      <c r="A765" t="s">
        <v>470</v>
      </c>
      <c r="B765" t="s">
        <v>2993</v>
      </c>
      <c r="C765" t="s">
        <v>840</v>
      </c>
      <c r="D765" t="s">
        <v>2994</v>
      </c>
      <c r="E765" t="s">
        <v>2995</v>
      </c>
      <c r="F765" t="s">
        <v>612</v>
      </c>
      <c r="G765" t="s">
        <v>613</v>
      </c>
      <c r="H765" t="s">
        <v>618</v>
      </c>
    </row>
    <row r="766" spans="1:8" x14ac:dyDescent="0.25">
      <c r="A766" t="s">
        <v>2996</v>
      </c>
      <c r="B766" t="s">
        <v>2997</v>
      </c>
      <c r="C766" t="s">
        <v>856</v>
      </c>
      <c r="D766" t="s">
        <v>2998</v>
      </c>
      <c r="E766" t="s">
        <v>2999</v>
      </c>
      <c r="F766" t="s">
        <v>612</v>
      </c>
      <c r="G766" t="s">
        <v>613</v>
      </c>
      <c r="H766" t="s">
        <v>634</v>
      </c>
    </row>
    <row r="767" spans="1:8" x14ac:dyDescent="0.25">
      <c r="A767" t="s">
        <v>3000</v>
      </c>
      <c r="B767" t="s">
        <v>3001</v>
      </c>
      <c r="C767" t="s">
        <v>876</v>
      </c>
      <c r="D767" t="s">
        <v>877</v>
      </c>
      <c r="E767" t="s">
        <v>3002</v>
      </c>
      <c r="F767" t="s">
        <v>612</v>
      </c>
      <c r="G767" t="s">
        <v>613</v>
      </c>
      <c r="H767" t="s">
        <v>618</v>
      </c>
    </row>
    <row r="768" spans="1:8" x14ac:dyDescent="0.25">
      <c r="A768" t="s">
        <v>3003</v>
      </c>
      <c r="B768" t="s">
        <v>3004</v>
      </c>
      <c r="C768" t="s">
        <v>749</v>
      </c>
      <c r="D768" t="s">
        <v>2523</v>
      </c>
      <c r="E768" t="s">
        <v>3005</v>
      </c>
      <c r="F768" t="s">
        <v>612</v>
      </c>
      <c r="G768" t="s">
        <v>613</v>
      </c>
      <c r="H768" t="s">
        <v>618</v>
      </c>
    </row>
    <row r="769" spans="1:8" x14ac:dyDescent="0.25">
      <c r="A769" t="s">
        <v>407</v>
      </c>
      <c r="B769" t="s">
        <v>3006</v>
      </c>
      <c r="C769" t="s">
        <v>752</v>
      </c>
      <c r="D769" t="s">
        <v>3007</v>
      </c>
      <c r="E769" t="s">
        <v>3008</v>
      </c>
      <c r="F769" t="s">
        <v>612</v>
      </c>
      <c r="G769" t="s">
        <v>613</v>
      </c>
      <c r="H769" t="s">
        <v>618</v>
      </c>
    </row>
    <row r="770" spans="1:8" x14ac:dyDescent="0.25">
      <c r="A770" t="s">
        <v>472</v>
      </c>
      <c r="B770" t="s">
        <v>3009</v>
      </c>
      <c r="C770" t="s">
        <v>1244</v>
      </c>
      <c r="D770" t="s">
        <v>1327</v>
      </c>
      <c r="E770" t="s">
        <v>3010</v>
      </c>
      <c r="F770" t="s">
        <v>612</v>
      </c>
      <c r="G770" t="s">
        <v>613</v>
      </c>
      <c r="H770" t="s">
        <v>618</v>
      </c>
    </row>
    <row r="771" spans="1:8" x14ac:dyDescent="0.25">
      <c r="A771" t="s">
        <v>3011</v>
      </c>
      <c r="B771" t="s">
        <v>3012</v>
      </c>
      <c r="C771" t="s">
        <v>876</v>
      </c>
      <c r="D771" t="s">
        <v>1257</v>
      </c>
      <c r="E771" t="s">
        <v>3013</v>
      </c>
      <c r="F771" t="s">
        <v>612</v>
      </c>
      <c r="G771" t="s">
        <v>613</v>
      </c>
      <c r="H771" t="s">
        <v>618</v>
      </c>
    </row>
    <row r="772" spans="1:8" x14ac:dyDescent="0.25">
      <c r="A772" t="s">
        <v>3014</v>
      </c>
      <c r="B772" t="s">
        <v>3015</v>
      </c>
      <c r="C772" t="s">
        <v>749</v>
      </c>
      <c r="D772" t="s">
        <v>2199</v>
      </c>
      <c r="E772" t="s">
        <v>3016</v>
      </c>
      <c r="F772" t="s">
        <v>612</v>
      </c>
      <c r="G772" t="s">
        <v>613</v>
      </c>
      <c r="H772" t="s">
        <v>618</v>
      </c>
    </row>
    <row r="773" spans="1:8" x14ac:dyDescent="0.25">
      <c r="A773" t="s">
        <v>3017</v>
      </c>
      <c r="B773" t="s">
        <v>3018</v>
      </c>
      <c r="C773" t="s">
        <v>1820</v>
      </c>
      <c r="D773" t="s">
        <v>877</v>
      </c>
      <c r="E773" t="s">
        <v>3019</v>
      </c>
      <c r="F773" t="s">
        <v>612</v>
      </c>
      <c r="G773" t="s">
        <v>613</v>
      </c>
      <c r="H773" t="s">
        <v>648</v>
      </c>
    </row>
    <row r="774" spans="1:8" x14ac:dyDescent="0.25">
      <c r="A774" t="s">
        <v>529</v>
      </c>
      <c r="B774" t="s">
        <v>3020</v>
      </c>
      <c r="C774" t="s">
        <v>616</v>
      </c>
      <c r="D774" t="s">
        <v>3021</v>
      </c>
      <c r="E774" t="s">
        <v>3022</v>
      </c>
      <c r="F774" t="s">
        <v>612</v>
      </c>
      <c r="G774" t="s">
        <v>613</v>
      </c>
      <c r="H774" t="s">
        <v>618</v>
      </c>
    </row>
    <row r="775" spans="1:8" x14ac:dyDescent="0.25">
      <c r="A775" t="s">
        <v>3023</v>
      </c>
      <c r="B775" t="s">
        <v>3024</v>
      </c>
      <c r="C775" t="s">
        <v>749</v>
      </c>
      <c r="D775" t="s">
        <v>3025</v>
      </c>
      <c r="E775" t="s">
        <v>3026</v>
      </c>
      <c r="F775" t="s">
        <v>612</v>
      </c>
      <c r="G775" t="s">
        <v>613</v>
      </c>
      <c r="H775" t="s">
        <v>618</v>
      </c>
    </row>
    <row r="776" spans="1:8" x14ac:dyDescent="0.25">
      <c r="A776" t="s">
        <v>3027</v>
      </c>
      <c r="B776" t="s">
        <v>3028</v>
      </c>
      <c r="C776" t="s">
        <v>168</v>
      </c>
      <c r="D776" t="s">
        <v>3029</v>
      </c>
      <c r="E776" t="s">
        <v>3030</v>
      </c>
      <c r="F776" t="s">
        <v>612</v>
      </c>
      <c r="G776" t="s">
        <v>613</v>
      </c>
      <c r="H776" t="s">
        <v>655</v>
      </c>
    </row>
    <row r="777" spans="1:8" x14ac:dyDescent="0.25">
      <c r="A777" t="s">
        <v>3031</v>
      </c>
      <c r="B777" t="s">
        <v>3032</v>
      </c>
      <c r="C777" t="s">
        <v>749</v>
      </c>
      <c r="D777" t="s">
        <v>734</v>
      </c>
      <c r="F777" t="s">
        <v>612</v>
      </c>
      <c r="G777" t="s">
        <v>613</v>
      </c>
      <c r="H777" t="s">
        <v>618</v>
      </c>
    </row>
    <row r="778" spans="1:8" x14ac:dyDescent="0.25">
      <c r="A778" t="s">
        <v>3033</v>
      </c>
      <c r="B778" t="s">
        <v>3034</v>
      </c>
      <c r="C778" t="s">
        <v>86</v>
      </c>
      <c r="D778" t="s">
        <v>3035</v>
      </c>
      <c r="E778" t="s">
        <v>3036</v>
      </c>
      <c r="F778" t="s">
        <v>612</v>
      </c>
      <c r="G778" t="s">
        <v>613</v>
      </c>
      <c r="H778" t="s">
        <v>634</v>
      </c>
    </row>
    <row r="779" spans="1:8" x14ac:dyDescent="0.25">
      <c r="A779" t="s">
        <v>3039</v>
      </c>
      <c r="B779" t="s">
        <v>3040</v>
      </c>
      <c r="C779" t="s">
        <v>700</v>
      </c>
      <c r="D779" t="s">
        <v>2537</v>
      </c>
      <c r="F779" t="s">
        <v>612</v>
      </c>
      <c r="G779" t="s">
        <v>613</v>
      </c>
      <c r="H779" t="s">
        <v>618</v>
      </c>
    </row>
    <row r="780" spans="1:8" x14ac:dyDescent="0.25">
      <c r="A780" t="s">
        <v>3041</v>
      </c>
      <c r="B780" t="s">
        <v>3042</v>
      </c>
      <c r="C780" t="s">
        <v>1434</v>
      </c>
      <c r="D780" t="s">
        <v>3043</v>
      </c>
      <c r="F780" t="s">
        <v>612</v>
      </c>
      <c r="G780" t="s">
        <v>613</v>
      </c>
      <c r="H780" t="s">
        <v>628</v>
      </c>
    </row>
    <row r="781" spans="1:8" x14ac:dyDescent="0.25">
      <c r="A781" t="s">
        <v>3044</v>
      </c>
      <c r="B781" t="s">
        <v>3045</v>
      </c>
      <c r="C781" t="s">
        <v>67</v>
      </c>
      <c r="D781" t="s">
        <v>3046</v>
      </c>
      <c r="E781" t="s">
        <v>3047</v>
      </c>
      <c r="F781" t="s">
        <v>612</v>
      </c>
      <c r="G781" t="s">
        <v>613</v>
      </c>
      <c r="H781" t="s">
        <v>655</v>
      </c>
    </row>
    <row r="782" spans="1:8" x14ac:dyDescent="0.25">
      <c r="A782" t="s">
        <v>3048</v>
      </c>
      <c r="B782" t="s">
        <v>3049</v>
      </c>
      <c r="C782" t="s">
        <v>640</v>
      </c>
      <c r="D782" t="s">
        <v>1792</v>
      </c>
      <c r="F782" t="s">
        <v>612</v>
      </c>
      <c r="G782" t="s">
        <v>613</v>
      </c>
      <c r="H782" t="s">
        <v>618</v>
      </c>
    </row>
    <row r="783" spans="1:8" x14ac:dyDescent="0.25">
      <c r="A783" t="s">
        <v>276</v>
      </c>
      <c r="B783" t="s">
        <v>3050</v>
      </c>
      <c r="C783" t="s">
        <v>86</v>
      </c>
      <c r="D783" t="s">
        <v>2360</v>
      </c>
      <c r="F783" t="s">
        <v>612</v>
      </c>
      <c r="G783" t="s">
        <v>613</v>
      </c>
      <c r="H783" t="s">
        <v>634</v>
      </c>
    </row>
    <row r="784" spans="1:8" x14ac:dyDescent="0.25">
      <c r="A784" t="s">
        <v>3051</v>
      </c>
      <c r="B784" t="s">
        <v>3052</v>
      </c>
      <c r="C784" t="s">
        <v>1080</v>
      </c>
      <c r="D784" t="s">
        <v>791</v>
      </c>
      <c r="E784" t="s">
        <v>3053</v>
      </c>
      <c r="F784" t="s">
        <v>612</v>
      </c>
      <c r="G784" t="s">
        <v>613</v>
      </c>
      <c r="H784" t="s">
        <v>681</v>
      </c>
    </row>
    <row r="785" spans="1:8" x14ac:dyDescent="0.25">
      <c r="A785" t="s">
        <v>3054</v>
      </c>
      <c r="B785" t="s">
        <v>3055</v>
      </c>
      <c r="C785" t="s">
        <v>374</v>
      </c>
      <c r="D785" t="s">
        <v>1717</v>
      </c>
      <c r="F785" t="s">
        <v>612</v>
      </c>
      <c r="G785" t="s">
        <v>613</v>
      </c>
      <c r="H785" t="s">
        <v>618</v>
      </c>
    </row>
    <row r="786" spans="1:8" x14ac:dyDescent="0.25">
      <c r="A786" t="s">
        <v>3056</v>
      </c>
      <c r="B786" t="s">
        <v>3057</v>
      </c>
      <c r="C786" t="s">
        <v>374</v>
      </c>
      <c r="D786" t="s">
        <v>1717</v>
      </c>
      <c r="F786" t="s">
        <v>612</v>
      </c>
      <c r="G786" t="s">
        <v>613</v>
      </c>
      <c r="H786" t="s">
        <v>618</v>
      </c>
    </row>
    <row r="787" spans="1:8" x14ac:dyDescent="0.25">
      <c r="A787" t="s">
        <v>450</v>
      </c>
      <c r="B787" t="s">
        <v>3058</v>
      </c>
      <c r="C787" t="s">
        <v>3059</v>
      </c>
      <c r="D787" t="s">
        <v>877</v>
      </c>
      <c r="E787" t="s">
        <v>3060</v>
      </c>
      <c r="F787" t="s">
        <v>612</v>
      </c>
      <c r="G787" t="s">
        <v>613</v>
      </c>
      <c r="H787" t="s">
        <v>1193</v>
      </c>
    </row>
    <row r="788" spans="1:8" x14ac:dyDescent="0.25">
      <c r="A788" t="s">
        <v>3061</v>
      </c>
      <c r="B788" t="s">
        <v>3062</v>
      </c>
      <c r="C788" t="s">
        <v>645</v>
      </c>
      <c r="D788" t="s">
        <v>734</v>
      </c>
      <c r="F788" t="s">
        <v>612</v>
      </c>
      <c r="G788" t="s">
        <v>613</v>
      </c>
      <c r="H788" t="s">
        <v>648</v>
      </c>
    </row>
    <row r="789" spans="1:8" x14ac:dyDescent="0.25">
      <c r="A789" t="s">
        <v>274</v>
      </c>
      <c r="B789" t="s">
        <v>3063</v>
      </c>
      <c r="C789" t="s">
        <v>86</v>
      </c>
      <c r="D789" t="s">
        <v>3064</v>
      </c>
      <c r="E789" t="s">
        <v>3065</v>
      </c>
      <c r="F789" t="s">
        <v>612</v>
      </c>
      <c r="G789" t="s">
        <v>613</v>
      </c>
      <c r="H789" t="s">
        <v>634</v>
      </c>
    </row>
    <row r="790" spans="1:8" x14ac:dyDescent="0.25">
      <c r="A790" t="s">
        <v>311</v>
      </c>
      <c r="B790" t="s">
        <v>3066</v>
      </c>
      <c r="C790" t="s">
        <v>86</v>
      </c>
      <c r="D790" t="s">
        <v>1113</v>
      </c>
      <c r="F790" t="s">
        <v>612</v>
      </c>
      <c r="G790" t="s">
        <v>613</v>
      </c>
      <c r="H790" t="s">
        <v>634</v>
      </c>
    </row>
    <row r="791" spans="1:8" x14ac:dyDescent="0.25">
      <c r="A791" t="s">
        <v>3067</v>
      </c>
      <c r="B791" t="s">
        <v>3068</v>
      </c>
      <c r="C791" t="s">
        <v>836</v>
      </c>
      <c r="D791" t="s">
        <v>3069</v>
      </c>
      <c r="E791" t="s">
        <v>3070</v>
      </c>
      <c r="F791" t="s">
        <v>612</v>
      </c>
      <c r="G791" t="s">
        <v>613</v>
      </c>
      <c r="H791" t="s">
        <v>681</v>
      </c>
    </row>
    <row r="792" spans="1:8" x14ac:dyDescent="0.25">
      <c r="A792" t="s">
        <v>3071</v>
      </c>
      <c r="B792" t="s">
        <v>3072</v>
      </c>
      <c r="C792" t="s">
        <v>374</v>
      </c>
      <c r="D792" t="s">
        <v>1717</v>
      </c>
      <c r="F792" t="s">
        <v>612</v>
      </c>
      <c r="G792" t="s">
        <v>613</v>
      </c>
      <c r="H792" t="s">
        <v>618</v>
      </c>
    </row>
    <row r="793" spans="1:8" x14ac:dyDescent="0.25">
      <c r="A793" t="s">
        <v>3073</v>
      </c>
      <c r="B793" t="s">
        <v>3074</v>
      </c>
      <c r="C793" t="s">
        <v>836</v>
      </c>
      <c r="D793" t="s">
        <v>791</v>
      </c>
      <c r="E793" t="s">
        <v>3075</v>
      </c>
      <c r="F793" t="s">
        <v>612</v>
      </c>
      <c r="G793" t="s">
        <v>613</v>
      </c>
      <c r="H793" t="s">
        <v>655</v>
      </c>
    </row>
    <row r="794" spans="1:8" x14ac:dyDescent="0.25">
      <c r="A794" t="s">
        <v>3076</v>
      </c>
      <c r="B794" t="s">
        <v>3077</v>
      </c>
      <c r="C794" t="s">
        <v>744</v>
      </c>
      <c r="D794" t="s">
        <v>1592</v>
      </c>
      <c r="E794" t="s">
        <v>3078</v>
      </c>
      <c r="F794" t="s">
        <v>612</v>
      </c>
      <c r="G794" t="s">
        <v>613</v>
      </c>
      <c r="H794" t="s">
        <v>618</v>
      </c>
    </row>
    <row r="795" spans="1:8" x14ac:dyDescent="0.25">
      <c r="A795" t="s">
        <v>3079</v>
      </c>
      <c r="B795" t="s">
        <v>3080</v>
      </c>
      <c r="C795" t="s">
        <v>168</v>
      </c>
      <c r="D795" t="s">
        <v>1248</v>
      </c>
      <c r="F795" t="s">
        <v>612</v>
      </c>
      <c r="G795" t="s">
        <v>613</v>
      </c>
      <c r="H795" t="s">
        <v>655</v>
      </c>
    </row>
    <row r="796" spans="1:8" x14ac:dyDescent="0.25">
      <c r="A796" t="s">
        <v>3081</v>
      </c>
      <c r="B796" t="s">
        <v>3082</v>
      </c>
      <c r="C796" t="s">
        <v>168</v>
      </c>
      <c r="D796" t="s">
        <v>796</v>
      </c>
      <c r="E796" t="s">
        <v>3083</v>
      </c>
      <c r="F796" t="s">
        <v>612</v>
      </c>
      <c r="G796" t="s">
        <v>613</v>
      </c>
      <c r="H796" t="s">
        <v>892</v>
      </c>
    </row>
    <row r="797" spans="1:8" x14ac:dyDescent="0.25">
      <c r="A797" t="s">
        <v>149</v>
      </c>
      <c r="B797" t="s">
        <v>3084</v>
      </c>
      <c r="C797" t="s">
        <v>626</v>
      </c>
      <c r="D797" t="s">
        <v>3085</v>
      </c>
      <c r="E797" t="s">
        <v>3086</v>
      </c>
      <c r="F797" t="s">
        <v>612</v>
      </c>
      <c r="G797" t="s">
        <v>613</v>
      </c>
      <c r="H797" t="s">
        <v>628</v>
      </c>
    </row>
    <row r="798" spans="1:8" x14ac:dyDescent="0.25">
      <c r="A798" t="s">
        <v>3087</v>
      </c>
      <c r="B798" t="s">
        <v>3088</v>
      </c>
      <c r="C798" t="s">
        <v>744</v>
      </c>
      <c r="D798" t="s">
        <v>1717</v>
      </c>
      <c r="F798" t="s">
        <v>612</v>
      </c>
      <c r="G798" t="s">
        <v>613</v>
      </c>
      <c r="H798" t="s">
        <v>618</v>
      </c>
    </row>
    <row r="799" spans="1:8" x14ac:dyDescent="0.25">
      <c r="A799" t="s">
        <v>3089</v>
      </c>
      <c r="B799" t="s">
        <v>3090</v>
      </c>
      <c r="C799" t="s">
        <v>616</v>
      </c>
      <c r="D799" t="s">
        <v>3091</v>
      </c>
      <c r="F799" t="s">
        <v>612</v>
      </c>
      <c r="G799" t="s">
        <v>613</v>
      </c>
      <c r="H799" t="s">
        <v>618</v>
      </c>
    </row>
    <row r="800" spans="1:8" x14ac:dyDescent="0.25">
      <c r="A800" t="s">
        <v>251</v>
      </c>
      <c r="B800" t="s">
        <v>3094</v>
      </c>
      <c r="C800" t="s">
        <v>86</v>
      </c>
      <c r="D800" t="s">
        <v>3095</v>
      </c>
      <c r="E800" t="s">
        <v>3096</v>
      </c>
      <c r="F800" t="s">
        <v>612</v>
      </c>
      <c r="G800" t="s">
        <v>613</v>
      </c>
      <c r="H800" t="s">
        <v>634</v>
      </c>
    </row>
    <row r="801" spans="1:8" x14ac:dyDescent="0.25">
      <c r="A801" t="s">
        <v>281</v>
      </c>
      <c r="B801" t="s">
        <v>3097</v>
      </c>
      <c r="C801" t="s">
        <v>836</v>
      </c>
      <c r="D801" t="s">
        <v>3098</v>
      </c>
      <c r="E801" t="s">
        <v>3099</v>
      </c>
      <c r="F801" t="s">
        <v>612</v>
      </c>
      <c r="G801" t="s">
        <v>613</v>
      </c>
      <c r="H801" t="s">
        <v>634</v>
      </c>
    </row>
    <row r="802" spans="1:8" x14ac:dyDescent="0.25">
      <c r="A802" t="s">
        <v>522</v>
      </c>
      <c r="B802" t="s">
        <v>3100</v>
      </c>
      <c r="C802" t="s">
        <v>616</v>
      </c>
      <c r="D802" t="s">
        <v>3101</v>
      </c>
      <c r="E802" t="s">
        <v>3102</v>
      </c>
      <c r="F802" t="s">
        <v>612</v>
      </c>
      <c r="G802" t="s">
        <v>613</v>
      </c>
      <c r="H802" t="s">
        <v>618</v>
      </c>
    </row>
    <row r="803" spans="1:8" x14ac:dyDescent="0.25">
      <c r="A803" t="s">
        <v>199</v>
      </c>
      <c r="B803" t="s">
        <v>3103</v>
      </c>
      <c r="C803" t="s">
        <v>1033</v>
      </c>
      <c r="D803" t="s">
        <v>3104</v>
      </c>
      <c r="E803" t="s">
        <v>3105</v>
      </c>
      <c r="F803" t="s">
        <v>612</v>
      </c>
      <c r="G803" t="s">
        <v>613</v>
      </c>
      <c r="H803" t="s">
        <v>655</v>
      </c>
    </row>
    <row r="804" spans="1:8" x14ac:dyDescent="0.25">
      <c r="A804" t="s">
        <v>3106</v>
      </c>
      <c r="B804" t="s">
        <v>3107</v>
      </c>
      <c r="C804" t="s">
        <v>645</v>
      </c>
      <c r="D804" t="s">
        <v>3108</v>
      </c>
      <c r="F804" t="s">
        <v>612</v>
      </c>
      <c r="G804" t="s">
        <v>613</v>
      </c>
      <c r="H804" t="s">
        <v>648</v>
      </c>
    </row>
    <row r="805" spans="1:8" x14ac:dyDescent="0.25">
      <c r="A805" t="s">
        <v>131</v>
      </c>
      <c r="B805" t="s">
        <v>3109</v>
      </c>
      <c r="C805" t="s">
        <v>700</v>
      </c>
      <c r="D805" t="s">
        <v>3110</v>
      </c>
      <c r="E805" t="s">
        <v>3111</v>
      </c>
      <c r="F805" t="s">
        <v>612</v>
      </c>
      <c r="G805" t="s">
        <v>613</v>
      </c>
      <c r="H805" t="s">
        <v>618</v>
      </c>
    </row>
    <row r="806" spans="1:8" x14ac:dyDescent="0.25">
      <c r="A806" t="s">
        <v>465</v>
      </c>
      <c r="B806" t="s">
        <v>3112</v>
      </c>
      <c r="C806" t="s">
        <v>840</v>
      </c>
      <c r="D806" t="s">
        <v>3113</v>
      </c>
      <c r="E806" t="s">
        <v>3114</v>
      </c>
      <c r="F806" t="s">
        <v>612</v>
      </c>
      <c r="G806" t="s">
        <v>613</v>
      </c>
      <c r="H806" t="s">
        <v>618</v>
      </c>
    </row>
    <row r="807" spans="1:8" x14ac:dyDescent="0.25">
      <c r="A807" t="s">
        <v>3115</v>
      </c>
      <c r="B807" t="s">
        <v>3116</v>
      </c>
      <c r="C807" t="s">
        <v>752</v>
      </c>
      <c r="D807" t="s">
        <v>2667</v>
      </c>
      <c r="E807" t="s">
        <v>3117</v>
      </c>
      <c r="F807" t="s">
        <v>612</v>
      </c>
      <c r="G807" t="s">
        <v>613</v>
      </c>
      <c r="H807" t="s">
        <v>618</v>
      </c>
    </row>
    <row r="808" spans="1:8" x14ac:dyDescent="0.25">
      <c r="A808" t="s">
        <v>3120</v>
      </c>
      <c r="B808" t="s">
        <v>3121</v>
      </c>
      <c r="E808" t="s">
        <v>3122</v>
      </c>
      <c r="F808" t="s">
        <v>612</v>
      </c>
      <c r="G808" t="s">
        <v>613</v>
      </c>
      <c r="H808" t="s">
        <v>618</v>
      </c>
    </row>
    <row r="809" spans="1:8" x14ac:dyDescent="0.25">
      <c r="A809" t="s">
        <v>3123</v>
      </c>
      <c r="B809" t="s">
        <v>3124</v>
      </c>
      <c r="C809" t="s">
        <v>700</v>
      </c>
      <c r="D809" t="s">
        <v>2190</v>
      </c>
      <c r="E809" t="s">
        <v>3125</v>
      </c>
      <c r="F809" t="s">
        <v>612</v>
      </c>
      <c r="G809" t="s">
        <v>613</v>
      </c>
      <c r="H809" t="s">
        <v>618</v>
      </c>
    </row>
    <row r="810" spans="1:8" x14ac:dyDescent="0.25">
      <c r="A810" t="s">
        <v>3126</v>
      </c>
      <c r="B810" t="s">
        <v>3127</v>
      </c>
      <c r="C810" t="s">
        <v>744</v>
      </c>
      <c r="D810" t="s">
        <v>3128</v>
      </c>
      <c r="F810" t="s">
        <v>612</v>
      </c>
      <c r="G810" t="s">
        <v>613</v>
      </c>
      <c r="H810" t="s">
        <v>618</v>
      </c>
    </row>
    <row r="811" spans="1:8" x14ac:dyDescent="0.25">
      <c r="A811" t="s">
        <v>3129</v>
      </c>
      <c r="B811" t="s">
        <v>3130</v>
      </c>
      <c r="C811" t="s">
        <v>1434</v>
      </c>
      <c r="D811" t="s">
        <v>3131</v>
      </c>
      <c r="F811" t="s">
        <v>612</v>
      </c>
      <c r="G811" t="s">
        <v>613</v>
      </c>
      <c r="H811" t="s">
        <v>628</v>
      </c>
    </row>
    <row r="812" spans="1:8" x14ac:dyDescent="0.25">
      <c r="A812" t="s">
        <v>3132</v>
      </c>
      <c r="B812" t="s">
        <v>3133</v>
      </c>
      <c r="C812" t="s">
        <v>616</v>
      </c>
      <c r="D812" t="s">
        <v>3134</v>
      </c>
      <c r="F812" t="s">
        <v>612</v>
      </c>
      <c r="G812" t="s">
        <v>613</v>
      </c>
      <c r="H812" t="s">
        <v>618</v>
      </c>
    </row>
    <row r="813" spans="1:8" x14ac:dyDescent="0.25">
      <c r="A813" t="s">
        <v>3135</v>
      </c>
      <c r="B813" t="s">
        <v>3136</v>
      </c>
      <c r="C813" t="s">
        <v>67</v>
      </c>
      <c r="D813" t="s">
        <v>1653</v>
      </c>
      <c r="E813" t="s">
        <v>3137</v>
      </c>
      <c r="F813" t="s">
        <v>612</v>
      </c>
      <c r="G813" t="s">
        <v>613</v>
      </c>
      <c r="H813" t="s">
        <v>655</v>
      </c>
    </row>
    <row r="814" spans="1:8" x14ac:dyDescent="0.25">
      <c r="A814" t="s">
        <v>3138</v>
      </c>
      <c r="B814" t="s">
        <v>3139</v>
      </c>
      <c r="C814" t="s">
        <v>1953</v>
      </c>
      <c r="D814" t="s">
        <v>3140</v>
      </c>
      <c r="E814" t="s">
        <v>3141</v>
      </c>
      <c r="F814" t="s">
        <v>612</v>
      </c>
      <c r="G814" t="s">
        <v>613</v>
      </c>
      <c r="H814" t="s">
        <v>681</v>
      </c>
    </row>
    <row r="815" spans="1:8" x14ac:dyDescent="0.25">
      <c r="A815" t="s">
        <v>3142</v>
      </c>
      <c r="B815" t="s">
        <v>3143</v>
      </c>
      <c r="C815" t="s">
        <v>918</v>
      </c>
      <c r="D815" t="s">
        <v>679</v>
      </c>
      <c r="E815" t="s">
        <v>3144</v>
      </c>
      <c r="F815" t="s">
        <v>612</v>
      </c>
      <c r="G815" t="s">
        <v>613</v>
      </c>
      <c r="H815" t="s">
        <v>648</v>
      </c>
    </row>
    <row r="816" spans="1:8" x14ac:dyDescent="0.25">
      <c r="A816" t="s">
        <v>298</v>
      </c>
      <c r="B816" t="s">
        <v>3145</v>
      </c>
      <c r="C816" t="s">
        <v>3146</v>
      </c>
      <c r="D816" t="s">
        <v>791</v>
      </c>
      <c r="E816" t="s">
        <v>3147</v>
      </c>
      <c r="F816" t="s">
        <v>612</v>
      </c>
      <c r="G816" t="s">
        <v>613</v>
      </c>
      <c r="H816" t="s">
        <v>655</v>
      </c>
    </row>
    <row r="817" spans="1:8" x14ac:dyDescent="0.25">
      <c r="A817" t="s">
        <v>3148</v>
      </c>
      <c r="B817" t="s">
        <v>3149</v>
      </c>
      <c r="C817" t="s">
        <v>749</v>
      </c>
      <c r="D817" t="s">
        <v>3150</v>
      </c>
      <c r="E817" t="s">
        <v>3151</v>
      </c>
      <c r="F817" t="s">
        <v>612</v>
      </c>
      <c r="G817" t="s">
        <v>613</v>
      </c>
      <c r="H817" t="s">
        <v>618</v>
      </c>
    </row>
    <row r="818" spans="1:8" x14ac:dyDescent="0.25">
      <c r="A818" t="s">
        <v>26</v>
      </c>
      <c r="B818" t="s">
        <v>3152</v>
      </c>
      <c r="C818" t="s">
        <v>661</v>
      </c>
      <c r="D818" t="s">
        <v>3153</v>
      </c>
      <c r="E818" t="s">
        <v>3154</v>
      </c>
      <c r="F818" t="s">
        <v>612</v>
      </c>
      <c r="G818" t="s">
        <v>613</v>
      </c>
      <c r="H818" t="s">
        <v>634</v>
      </c>
    </row>
    <row r="819" spans="1:8" x14ac:dyDescent="0.25">
      <c r="A819" t="s">
        <v>299</v>
      </c>
      <c r="B819" t="s">
        <v>3155</v>
      </c>
      <c r="C819" t="s">
        <v>914</v>
      </c>
      <c r="D819" t="s">
        <v>769</v>
      </c>
      <c r="E819" t="s">
        <v>3156</v>
      </c>
      <c r="F819" t="s">
        <v>612</v>
      </c>
      <c r="G819" t="s">
        <v>613</v>
      </c>
      <c r="H819" t="s">
        <v>655</v>
      </c>
    </row>
    <row r="820" spans="1:8" x14ac:dyDescent="0.25">
      <c r="A820" t="s">
        <v>3157</v>
      </c>
      <c r="B820" t="s">
        <v>3158</v>
      </c>
      <c r="C820" t="s">
        <v>749</v>
      </c>
      <c r="D820" t="s">
        <v>3159</v>
      </c>
      <c r="E820" t="s">
        <v>3160</v>
      </c>
      <c r="F820" t="s">
        <v>612</v>
      </c>
      <c r="G820" t="s">
        <v>613</v>
      </c>
      <c r="H820" t="s">
        <v>618</v>
      </c>
    </row>
    <row r="821" spans="1:8" x14ac:dyDescent="0.25">
      <c r="A821" t="s">
        <v>105</v>
      </c>
      <c r="B821" t="s">
        <v>3161</v>
      </c>
      <c r="C821" t="s">
        <v>86</v>
      </c>
      <c r="D821" t="s">
        <v>3162</v>
      </c>
      <c r="E821" t="s">
        <v>3163</v>
      </c>
      <c r="F821" t="s">
        <v>612</v>
      </c>
      <c r="G821" t="s">
        <v>613</v>
      </c>
      <c r="H821" t="s">
        <v>634</v>
      </c>
    </row>
    <row r="822" spans="1:8" x14ac:dyDescent="0.25">
      <c r="A822" t="s">
        <v>3164</v>
      </c>
      <c r="B822" t="s">
        <v>3165</v>
      </c>
      <c r="C822" t="s">
        <v>1467</v>
      </c>
      <c r="D822" t="s">
        <v>3166</v>
      </c>
      <c r="E822" t="s">
        <v>3167</v>
      </c>
      <c r="F822" t="s">
        <v>612</v>
      </c>
      <c r="G822" t="s">
        <v>613</v>
      </c>
      <c r="H822" t="s">
        <v>681</v>
      </c>
    </row>
    <row r="823" spans="1:8" x14ac:dyDescent="0.25">
      <c r="A823" t="s">
        <v>3168</v>
      </c>
      <c r="B823" t="s">
        <v>3169</v>
      </c>
      <c r="C823" t="s">
        <v>1820</v>
      </c>
      <c r="D823" t="s">
        <v>3170</v>
      </c>
      <c r="E823" t="s">
        <v>3171</v>
      </c>
      <c r="F823" t="s">
        <v>612</v>
      </c>
      <c r="G823" t="s">
        <v>613</v>
      </c>
      <c r="H823" t="s">
        <v>648</v>
      </c>
    </row>
    <row r="824" spans="1:8" x14ac:dyDescent="0.25">
      <c r="A824" t="s">
        <v>387</v>
      </c>
      <c r="B824" t="s">
        <v>3172</v>
      </c>
      <c r="C824" t="s">
        <v>1066</v>
      </c>
      <c r="D824" t="s">
        <v>1257</v>
      </c>
      <c r="E824" t="s">
        <v>3173</v>
      </c>
      <c r="F824" t="s">
        <v>612</v>
      </c>
      <c r="G824" t="s">
        <v>613</v>
      </c>
      <c r="H824" t="s">
        <v>618</v>
      </c>
    </row>
    <row r="825" spans="1:8" x14ac:dyDescent="0.25">
      <c r="A825" t="s">
        <v>3174</v>
      </c>
      <c r="B825" t="s">
        <v>3175</v>
      </c>
      <c r="C825" t="s">
        <v>752</v>
      </c>
      <c r="D825" t="s">
        <v>3176</v>
      </c>
      <c r="E825" t="s">
        <v>3177</v>
      </c>
      <c r="F825" t="s">
        <v>612</v>
      </c>
      <c r="G825" t="s">
        <v>613</v>
      </c>
      <c r="H825" t="s">
        <v>618</v>
      </c>
    </row>
    <row r="826" spans="1:8" x14ac:dyDescent="0.25">
      <c r="A826" t="s">
        <v>3178</v>
      </c>
      <c r="B826" t="s">
        <v>3179</v>
      </c>
      <c r="C826" t="s">
        <v>700</v>
      </c>
      <c r="D826" t="s">
        <v>2319</v>
      </c>
      <c r="F826" t="s">
        <v>612</v>
      </c>
      <c r="G826" t="s">
        <v>613</v>
      </c>
      <c r="H826" t="s">
        <v>618</v>
      </c>
    </row>
    <row r="827" spans="1:8" x14ac:dyDescent="0.25">
      <c r="A827" t="s">
        <v>3180</v>
      </c>
      <c r="B827" t="s">
        <v>3181</v>
      </c>
      <c r="C827" t="s">
        <v>752</v>
      </c>
      <c r="D827" t="s">
        <v>1435</v>
      </c>
      <c r="E827" t="s">
        <v>3182</v>
      </c>
      <c r="F827" t="s">
        <v>612</v>
      </c>
      <c r="G827" t="s">
        <v>613</v>
      </c>
      <c r="H827" t="s">
        <v>618</v>
      </c>
    </row>
    <row r="828" spans="1:8" x14ac:dyDescent="0.25">
      <c r="A828" t="s">
        <v>3183</v>
      </c>
      <c r="B828" t="s">
        <v>3184</v>
      </c>
      <c r="C828" t="s">
        <v>86</v>
      </c>
      <c r="D828" t="s">
        <v>3185</v>
      </c>
      <c r="E828" t="s">
        <v>3186</v>
      </c>
      <c r="F828" t="s">
        <v>612</v>
      </c>
      <c r="G828" t="s">
        <v>613</v>
      </c>
      <c r="H828" t="s">
        <v>634</v>
      </c>
    </row>
    <row r="829" spans="1:8" x14ac:dyDescent="0.25">
      <c r="A829" t="s">
        <v>436</v>
      </c>
      <c r="B829" t="s">
        <v>3187</v>
      </c>
      <c r="C829" t="s">
        <v>640</v>
      </c>
      <c r="D829" t="s">
        <v>1092</v>
      </c>
      <c r="E829" t="s">
        <v>3188</v>
      </c>
      <c r="F829" t="s">
        <v>612</v>
      </c>
      <c r="G829" t="s">
        <v>613</v>
      </c>
      <c r="H829" t="s">
        <v>618</v>
      </c>
    </row>
    <row r="830" spans="1:8" x14ac:dyDescent="0.25">
      <c r="A830" t="s">
        <v>3189</v>
      </c>
      <c r="B830" t="s">
        <v>3190</v>
      </c>
      <c r="C830" t="s">
        <v>640</v>
      </c>
      <c r="D830" t="s">
        <v>3191</v>
      </c>
      <c r="E830" t="s">
        <v>3192</v>
      </c>
      <c r="F830" t="s">
        <v>612</v>
      </c>
      <c r="G830" t="s">
        <v>613</v>
      </c>
      <c r="H830" t="s">
        <v>618</v>
      </c>
    </row>
    <row r="831" spans="1:8" x14ac:dyDescent="0.25">
      <c r="A831" t="s">
        <v>3193</v>
      </c>
      <c r="B831" t="s">
        <v>3194</v>
      </c>
      <c r="C831" t="s">
        <v>678</v>
      </c>
      <c r="D831" t="s">
        <v>1514</v>
      </c>
      <c r="E831" t="s">
        <v>3195</v>
      </c>
      <c r="F831" t="s">
        <v>612</v>
      </c>
      <c r="G831" t="s">
        <v>613</v>
      </c>
      <c r="H831" t="s">
        <v>681</v>
      </c>
    </row>
    <row r="832" spans="1:8" x14ac:dyDescent="0.25">
      <c r="A832" t="s">
        <v>486</v>
      </c>
      <c r="B832" t="s">
        <v>3196</v>
      </c>
      <c r="C832" t="s">
        <v>744</v>
      </c>
      <c r="D832" t="s">
        <v>2755</v>
      </c>
      <c r="F832" t="s">
        <v>612</v>
      </c>
      <c r="G832" t="s">
        <v>613</v>
      </c>
      <c r="H832" t="s">
        <v>618</v>
      </c>
    </row>
    <row r="833" spans="1:8" x14ac:dyDescent="0.25">
      <c r="A833" t="s">
        <v>3197</v>
      </c>
      <c r="B833" t="s">
        <v>3198</v>
      </c>
      <c r="C833" t="s">
        <v>1072</v>
      </c>
      <c r="D833" t="s">
        <v>3199</v>
      </c>
      <c r="E833" t="s">
        <v>3200</v>
      </c>
      <c r="F833" t="s">
        <v>612</v>
      </c>
      <c r="G833" t="s">
        <v>613</v>
      </c>
      <c r="H833" t="s">
        <v>618</v>
      </c>
    </row>
    <row r="834" spans="1:8" x14ac:dyDescent="0.25">
      <c r="A834" t="s">
        <v>3201</v>
      </c>
      <c r="B834" t="s">
        <v>3202</v>
      </c>
      <c r="C834" t="s">
        <v>700</v>
      </c>
      <c r="D834" t="s">
        <v>3199</v>
      </c>
      <c r="E834" t="s">
        <v>3203</v>
      </c>
      <c r="F834" t="s">
        <v>612</v>
      </c>
      <c r="G834" t="s">
        <v>613</v>
      </c>
      <c r="H834" t="s">
        <v>618</v>
      </c>
    </row>
    <row r="835" spans="1:8" x14ac:dyDescent="0.25">
      <c r="A835" t="s">
        <v>3204</v>
      </c>
      <c r="B835" t="s">
        <v>3205</v>
      </c>
      <c r="C835" t="s">
        <v>102</v>
      </c>
      <c r="D835" t="s">
        <v>2274</v>
      </c>
      <c r="F835" t="s">
        <v>612</v>
      </c>
      <c r="G835" t="s">
        <v>613</v>
      </c>
      <c r="H835" t="s">
        <v>655</v>
      </c>
    </row>
    <row r="836" spans="1:8" x14ac:dyDescent="0.25">
      <c r="A836" t="s">
        <v>393</v>
      </c>
      <c r="B836" t="s">
        <v>3206</v>
      </c>
      <c r="C836" t="s">
        <v>1190</v>
      </c>
      <c r="D836" t="s">
        <v>3207</v>
      </c>
      <c r="E836" t="s">
        <v>3208</v>
      </c>
      <c r="F836" t="s">
        <v>612</v>
      </c>
      <c r="G836" t="s">
        <v>613</v>
      </c>
      <c r="H836" t="s">
        <v>618</v>
      </c>
    </row>
    <row r="837" spans="1:8" x14ac:dyDescent="0.25">
      <c r="A837" t="s">
        <v>3209</v>
      </c>
      <c r="B837" t="s">
        <v>3210</v>
      </c>
      <c r="C837" t="s">
        <v>752</v>
      </c>
      <c r="D837" t="s">
        <v>1825</v>
      </c>
      <c r="F837" t="s">
        <v>612</v>
      </c>
      <c r="G837" t="s">
        <v>613</v>
      </c>
      <c r="H837" t="s">
        <v>618</v>
      </c>
    </row>
    <row r="838" spans="1:8" x14ac:dyDescent="0.25">
      <c r="A838" t="s">
        <v>3211</v>
      </c>
      <c r="B838" t="s">
        <v>3212</v>
      </c>
      <c r="C838" t="s">
        <v>749</v>
      </c>
      <c r="D838" t="s">
        <v>1077</v>
      </c>
      <c r="F838" t="s">
        <v>612</v>
      </c>
      <c r="G838" t="s">
        <v>613</v>
      </c>
      <c r="H838" t="s">
        <v>618</v>
      </c>
    </row>
    <row r="839" spans="1:8" x14ac:dyDescent="0.25">
      <c r="A839" t="s">
        <v>187</v>
      </c>
      <c r="B839" t="s">
        <v>3213</v>
      </c>
      <c r="C839" t="s">
        <v>673</v>
      </c>
      <c r="D839" t="s">
        <v>3214</v>
      </c>
      <c r="E839" t="s">
        <v>3215</v>
      </c>
      <c r="F839" t="s">
        <v>612</v>
      </c>
      <c r="G839" t="s">
        <v>613</v>
      </c>
      <c r="H839" t="s">
        <v>648</v>
      </c>
    </row>
    <row r="840" spans="1:8" x14ac:dyDescent="0.25">
      <c r="A840" t="s">
        <v>58</v>
      </c>
      <c r="B840" t="s">
        <v>3216</v>
      </c>
      <c r="C840" t="s">
        <v>1190</v>
      </c>
      <c r="D840" t="s">
        <v>3217</v>
      </c>
      <c r="E840" t="s">
        <v>3218</v>
      </c>
      <c r="F840" t="s">
        <v>612</v>
      </c>
      <c r="G840" t="s">
        <v>613</v>
      </c>
      <c r="H840" t="s">
        <v>1193</v>
      </c>
    </row>
    <row r="841" spans="1:8" x14ac:dyDescent="0.25">
      <c r="A841" t="s">
        <v>3219</v>
      </c>
      <c r="B841" t="s">
        <v>3220</v>
      </c>
      <c r="C841" t="s">
        <v>653</v>
      </c>
      <c r="D841" t="s">
        <v>3221</v>
      </c>
      <c r="F841" t="s">
        <v>612</v>
      </c>
      <c r="G841" t="s">
        <v>613</v>
      </c>
      <c r="H841" t="s">
        <v>655</v>
      </c>
    </row>
    <row r="842" spans="1:8" x14ac:dyDescent="0.25">
      <c r="A842" t="s">
        <v>578</v>
      </c>
      <c r="B842" t="s">
        <v>3222</v>
      </c>
      <c r="C842" t="s">
        <v>640</v>
      </c>
      <c r="D842" t="s">
        <v>3223</v>
      </c>
      <c r="E842" t="s">
        <v>3224</v>
      </c>
      <c r="F842" t="s">
        <v>612</v>
      </c>
      <c r="G842" t="s">
        <v>613</v>
      </c>
      <c r="H842" t="s">
        <v>618</v>
      </c>
    </row>
    <row r="843" spans="1:8" x14ac:dyDescent="0.25">
      <c r="A843" t="s">
        <v>3225</v>
      </c>
      <c r="B843" t="s">
        <v>3226</v>
      </c>
      <c r="C843" t="s">
        <v>749</v>
      </c>
      <c r="D843" t="s">
        <v>1038</v>
      </c>
      <c r="F843" t="s">
        <v>612</v>
      </c>
      <c r="G843" t="s">
        <v>613</v>
      </c>
      <c r="H843" t="s">
        <v>618</v>
      </c>
    </row>
    <row r="844" spans="1:8" x14ac:dyDescent="0.25">
      <c r="A844" t="s">
        <v>3227</v>
      </c>
      <c r="B844" t="s">
        <v>3228</v>
      </c>
      <c r="C844" t="s">
        <v>744</v>
      </c>
      <c r="D844" t="s">
        <v>1717</v>
      </c>
      <c r="F844" t="s">
        <v>612</v>
      </c>
      <c r="G844" t="s">
        <v>613</v>
      </c>
      <c r="H844" t="s">
        <v>618</v>
      </c>
    </row>
    <row r="845" spans="1:8" x14ac:dyDescent="0.25">
      <c r="A845" t="s">
        <v>520</v>
      </c>
      <c r="B845" t="s">
        <v>3229</v>
      </c>
      <c r="C845" t="s">
        <v>640</v>
      </c>
      <c r="D845" t="s">
        <v>641</v>
      </c>
      <c r="E845" t="s">
        <v>3230</v>
      </c>
      <c r="F845" t="s">
        <v>612</v>
      </c>
      <c r="G845" t="s">
        <v>613</v>
      </c>
      <c r="H845" t="s">
        <v>618</v>
      </c>
    </row>
    <row r="846" spans="1:8" x14ac:dyDescent="0.25">
      <c r="A846" t="s">
        <v>538</v>
      </c>
      <c r="B846" t="s">
        <v>3234</v>
      </c>
      <c r="C846" t="s">
        <v>1012</v>
      </c>
      <c r="D846" t="s">
        <v>948</v>
      </c>
      <c r="E846" t="s">
        <v>3235</v>
      </c>
      <c r="F846" t="s">
        <v>612</v>
      </c>
      <c r="G846" t="s">
        <v>613</v>
      </c>
      <c r="H846" t="s">
        <v>618</v>
      </c>
    </row>
    <row r="847" spans="1:8" x14ac:dyDescent="0.25">
      <c r="A847" t="s">
        <v>3236</v>
      </c>
      <c r="B847" t="s">
        <v>3237</v>
      </c>
      <c r="C847" t="s">
        <v>86</v>
      </c>
      <c r="D847" t="s">
        <v>3238</v>
      </c>
      <c r="E847" t="s">
        <v>3239</v>
      </c>
      <c r="F847" t="s">
        <v>612</v>
      </c>
      <c r="G847" t="s">
        <v>613</v>
      </c>
      <c r="H847" t="s">
        <v>634</v>
      </c>
    </row>
    <row r="848" spans="1:8" x14ac:dyDescent="0.25">
      <c r="A848" t="s">
        <v>3240</v>
      </c>
      <c r="B848" t="s">
        <v>3241</v>
      </c>
      <c r="E848" t="s">
        <v>3242</v>
      </c>
      <c r="F848" t="s">
        <v>612</v>
      </c>
      <c r="G848" t="s">
        <v>613</v>
      </c>
      <c r="H848" t="s">
        <v>618</v>
      </c>
    </row>
    <row r="849" spans="1:8" x14ac:dyDescent="0.25">
      <c r="A849" t="s">
        <v>283</v>
      </c>
      <c r="B849" t="s">
        <v>3243</v>
      </c>
      <c r="C849" t="s">
        <v>829</v>
      </c>
      <c r="D849" t="s">
        <v>791</v>
      </c>
      <c r="E849" t="s">
        <v>3244</v>
      </c>
      <c r="F849" t="s">
        <v>612</v>
      </c>
      <c r="G849" t="s">
        <v>613</v>
      </c>
      <c r="H849" t="s">
        <v>655</v>
      </c>
    </row>
    <row r="850" spans="1:8" x14ac:dyDescent="0.25">
      <c r="A850" t="s">
        <v>253</v>
      </c>
      <c r="B850" t="s">
        <v>3245</v>
      </c>
      <c r="C850" t="s">
        <v>86</v>
      </c>
      <c r="D850" t="s">
        <v>977</v>
      </c>
      <c r="F850" t="s">
        <v>612</v>
      </c>
      <c r="G850" t="s">
        <v>613</v>
      </c>
      <c r="H850" t="s">
        <v>634</v>
      </c>
    </row>
    <row r="851" spans="1:8" x14ac:dyDescent="0.25">
      <c r="A851" t="s">
        <v>141</v>
      </c>
      <c r="B851" t="s">
        <v>3246</v>
      </c>
      <c r="C851" t="s">
        <v>768</v>
      </c>
      <c r="D851" t="s">
        <v>769</v>
      </c>
      <c r="E851" t="s">
        <v>3247</v>
      </c>
      <c r="F851" t="s">
        <v>612</v>
      </c>
      <c r="G851" t="s">
        <v>613</v>
      </c>
      <c r="H851" t="s">
        <v>655</v>
      </c>
    </row>
    <row r="852" spans="1:8" x14ac:dyDescent="0.25">
      <c r="A852" t="s">
        <v>3248</v>
      </c>
      <c r="B852" t="s">
        <v>3249</v>
      </c>
      <c r="C852" t="s">
        <v>86</v>
      </c>
      <c r="D852" t="s">
        <v>2599</v>
      </c>
      <c r="E852" t="s">
        <v>3250</v>
      </c>
      <c r="F852" t="s">
        <v>612</v>
      </c>
      <c r="G852" t="s">
        <v>613</v>
      </c>
      <c r="H852" t="s">
        <v>634</v>
      </c>
    </row>
    <row r="853" spans="1:8" x14ac:dyDescent="0.25">
      <c r="A853" t="s">
        <v>3251</v>
      </c>
      <c r="B853" t="s">
        <v>3252</v>
      </c>
      <c r="E853" t="s">
        <v>3253</v>
      </c>
      <c r="F853" t="s">
        <v>612</v>
      </c>
      <c r="G853" t="s">
        <v>613</v>
      </c>
      <c r="H853" t="s">
        <v>618</v>
      </c>
    </row>
    <row r="854" spans="1:8" x14ac:dyDescent="0.25">
      <c r="A854" t="s">
        <v>439</v>
      </c>
      <c r="B854" t="s">
        <v>3254</v>
      </c>
      <c r="C854" t="s">
        <v>640</v>
      </c>
      <c r="D854" t="s">
        <v>3255</v>
      </c>
      <c r="E854" t="s">
        <v>3256</v>
      </c>
      <c r="F854" t="s">
        <v>612</v>
      </c>
      <c r="G854" t="s">
        <v>613</v>
      </c>
      <c r="H854" t="s">
        <v>618</v>
      </c>
    </row>
    <row r="855" spans="1:8" x14ac:dyDescent="0.25">
      <c r="A855" t="s">
        <v>379</v>
      </c>
      <c r="B855" t="s">
        <v>3257</v>
      </c>
      <c r="C855" t="s">
        <v>752</v>
      </c>
      <c r="D855" t="s">
        <v>662</v>
      </c>
      <c r="E855" t="s">
        <v>3258</v>
      </c>
      <c r="F855" t="s">
        <v>612</v>
      </c>
      <c r="G855" t="s">
        <v>613</v>
      </c>
      <c r="H855" t="s">
        <v>618</v>
      </c>
    </row>
    <row r="856" spans="1:8" x14ac:dyDescent="0.25">
      <c r="A856" t="s">
        <v>3259</v>
      </c>
      <c r="B856" t="s">
        <v>3260</v>
      </c>
      <c r="C856" t="s">
        <v>700</v>
      </c>
      <c r="D856" t="s">
        <v>3261</v>
      </c>
      <c r="E856" t="s">
        <v>3262</v>
      </c>
      <c r="F856" t="s">
        <v>612</v>
      </c>
      <c r="G856" t="s">
        <v>613</v>
      </c>
      <c r="H856" t="s">
        <v>618</v>
      </c>
    </row>
    <row r="857" spans="1:8" x14ac:dyDescent="0.25">
      <c r="A857" t="s">
        <v>3263</v>
      </c>
      <c r="B857" t="s">
        <v>3264</v>
      </c>
      <c r="C857" t="s">
        <v>744</v>
      </c>
      <c r="D857" t="s">
        <v>3265</v>
      </c>
      <c r="E857" t="s">
        <v>3266</v>
      </c>
      <c r="F857" t="s">
        <v>612</v>
      </c>
      <c r="G857" t="s">
        <v>613</v>
      </c>
      <c r="H857" t="s">
        <v>618</v>
      </c>
    </row>
    <row r="858" spans="1:8" x14ac:dyDescent="0.25">
      <c r="A858" t="s">
        <v>127</v>
      </c>
      <c r="B858" t="s">
        <v>3267</v>
      </c>
      <c r="C858" t="s">
        <v>640</v>
      </c>
      <c r="D858" t="s">
        <v>769</v>
      </c>
      <c r="E858" t="s">
        <v>3268</v>
      </c>
      <c r="F858" t="s">
        <v>612</v>
      </c>
      <c r="G858" t="s">
        <v>613</v>
      </c>
      <c r="H858" t="s">
        <v>618</v>
      </c>
    </row>
    <row r="859" spans="1:8" x14ac:dyDescent="0.25">
      <c r="A859" t="s">
        <v>3269</v>
      </c>
      <c r="B859" t="s">
        <v>3270</v>
      </c>
      <c r="C859" t="s">
        <v>67</v>
      </c>
      <c r="D859" t="s">
        <v>2151</v>
      </c>
      <c r="E859" t="s">
        <v>3271</v>
      </c>
      <c r="F859" t="s">
        <v>612</v>
      </c>
      <c r="G859" t="s">
        <v>613</v>
      </c>
      <c r="H859" t="s">
        <v>655</v>
      </c>
    </row>
    <row r="860" spans="1:8" x14ac:dyDescent="0.25">
      <c r="A860" t="s">
        <v>3272</v>
      </c>
      <c r="B860" t="s">
        <v>3273</v>
      </c>
      <c r="C860" t="s">
        <v>1368</v>
      </c>
      <c r="D860" t="s">
        <v>3274</v>
      </c>
      <c r="E860" t="s">
        <v>3275</v>
      </c>
      <c r="F860" t="s">
        <v>612</v>
      </c>
      <c r="G860" t="s">
        <v>613</v>
      </c>
      <c r="H860" t="s">
        <v>655</v>
      </c>
    </row>
    <row r="861" spans="1:8" x14ac:dyDescent="0.25">
      <c r="A861" t="s">
        <v>434</v>
      </c>
      <c r="B861" t="s">
        <v>3276</v>
      </c>
      <c r="C861" t="s">
        <v>700</v>
      </c>
      <c r="D861" t="s">
        <v>3277</v>
      </c>
      <c r="F861" t="s">
        <v>612</v>
      </c>
      <c r="G861" t="s">
        <v>613</v>
      </c>
      <c r="H861" t="s">
        <v>618</v>
      </c>
    </row>
    <row r="862" spans="1:8" x14ac:dyDescent="0.25">
      <c r="A862" t="s">
        <v>147</v>
      </c>
      <c r="B862" t="s">
        <v>3278</v>
      </c>
      <c r="C862" t="s">
        <v>626</v>
      </c>
      <c r="D862" t="s">
        <v>1248</v>
      </c>
      <c r="F862" t="s">
        <v>612</v>
      </c>
      <c r="G862" t="s">
        <v>613</v>
      </c>
      <c r="H862" t="s">
        <v>628</v>
      </c>
    </row>
    <row r="863" spans="1:8" x14ac:dyDescent="0.25">
      <c r="A863" t="s">
        <v>3279</v>
      </c>
      <c r="B863" t="s">
        <v>3280</v>
      </c>
      <c r="C863" t="s">
        <v>700</v>
      </c>
      <c r="D863" t="s">
        <v>3281</v>
      </c>
      <c r="E863" t="s">
        <v>3282</v>
      </c>
      <c r="F863" t="s">
        <v>612</v>
      </c>
      <c r="G863" t="s">
        <v>613</v>
      </c>
      <c r="H863" t="s">
        <v>618</v>
      </c>
    </row>
    <row r="864" spans="1:8" x14ac:dyDescent="0.25">
      <c r="A864" t="s">
        <v>3283</v>
      </c>
      <c r="B864" t="s">
        <v>3284</v>
      </c>
      <c r="C864" t="s">
        <v>700</v>
      </c>
      <c r="D864" t="s">
        <v>3265</v>
      </c>
      <c r="E864" t="s">
        <v>3285</v>
      </c>
      <c r="F864" t="s">
        <v>612</v>
      </c>
      <c r="G864" t="s">
        <v>613</v>
      </c>
      <c r="H864" t="s">
        <v>618</v>
      </c>
    </row>
    <row r="865" spans="1:8" x14ac:dyDescent="0.25">
      <c r="A865" t="s">
        <v>14</v>
      </c>
      <c r="B865" t="s">
        <v>3286</v>
      </c>
      <c r="C865" t="s">
        <v>700</v>
      </c>
      <c r="D865" t="s">
        <v>2752</v>
      </c>
      <c r="E865" t="s">
        <v>3287</v>
      </c>
      <c r="F865" t="s">
        <v>612</v>
      </c>
      <c r="G865" t="s">
        <v>613</v>
      </c>
      <c r="H865" t="s">
        <v>618</v>
      </c>
    </row>
    <row r="866" spans="1:8" x14ac:dyDescent="0.25">
      <c r="A866" t="s">
        <v>3288</v>
      </c>
      <c r="B866" t="s">
        <v>3289</v>
      </c>
      <c r="C866" t="s">
        <v>678</v>
      </c>
      <c r="D866" t="s">
        <v>3290</v>
      </c>
      <c r="E866" t="s">
        <v>3291</v>
      </c>
      <c r="F866" t="s">
        <v>612</v>
      </c>
      <c r="G866" t="s">
        <v>613</v>
      </c>
      <c r="H866" t="s">
        <v>681</v>
      </c>
    </row>
    <row r="867" spans="1:8" x14ac:dyDescent="0.25">
      <c r="A867" t="s">
        <v>3292</v>
      </c>
      <c r="B867" t="s">
        <v>3293</v>
      </c>
      <c r="C867" t="s">
        <v>1072</v>
      </c>
      <c r="D867" t="s">
        <v>1756</v>
      </c>
      <c r="E867" t="s">
        <v>3294</v>
      </c>
      <c r="F867" t="s">
        <v>612</v>
      </c>
      <c r="G867" t="s">
        <v>613</v>
      </c>
      <c r="H867" t="s">
        <v>618</v>
      </c>
    </row>
    <row r="868" spans="1:8" x14ac:dyDescent="0.25">
      <c r="A868" t="s">
        <v>3295</v>
      </c>
      <c r="B868" t="s">
        <v>3296</v>
      </c>
      <c r="C868" t="s">
        <v>1072</v>
      </c>
      <c r="D868" t="s">
        <v>877</v>
      </c>
      <c r="E868" t="s">
        <v>3297</v>
      </c>
      <c r="F868" t="s">
        <v>612</v>
      </c>
      <c r="G868" t="s">
        <v>613</v>
      </c>
      <c r="H868" t="s">
        <v>618</v>
      </c>
    </row>
    <row r="869" spans="1:8" x14ac:dyDescent="0.25">
      <c r="A869" t="s">
        <v>3298</v>
      </c>
      <c r="B869" t="s">
        <v>3299</v>
      </c>
      <c r="C869" t="s">
        <v>640</v>
      </c>
      <c r="D869" t="s">
        <v>935</v>
      </c>
      <c r="E869" t="s">
        <v>3300</v>
      </c>
      <c r="F869" t="s">
        <v>612</v>
      </c>
      <c r="G869" t="s">
        <v>613</v>
      </c>
      <c r="H869" t="s">
        <v>618</v>
      </c>
    </row>
    <row r="870" spans="1:8" x14ac:dyDescent="0.25">
      <c r="A870" t="s">
        <v>3301</v>
      </c>
      <c r="B870" t="s">
        <v>3302</v>
      </c>
      <c r="C870" t="s">
        <v>102</v>
      </c>
      <c r="D870" t="s">
        <v>1271</v>
      </c>
      <c r="F870" t="s">
        <v>612</v>
      </c>
      <c r="G870" t="s">
        <v>613</v>
      </c>
      <c r="H870" t="s">
        <v>655</v>
      </c>
    </row>
    <row r="871" spans="1:8" x14ac:dyDescent="0.25">
      <c r="A871" t="s">
        <v>534</v>
      </c>
      <c r="B871" t="s">
        <v>3303</v>
      </c>
      <c r="C871" t="s">
        <v>925</v>
      </c>
      <c r="D871" t="s">
        <v>3304</v>
      </c>
      <c r="E871" t="s">
        <v>3305</v>
      </c>
      <c r="F871" t="s">
        <v>612</v>
      </c>
      <c r="G871" t="s">
        <v>613</v>
      </c>
      <c r="H871" t="s">
        <v>618</v>
      </c>
    </row>
    <row r="872" spans="1:8" x14ac:dyDescent="0.25">
      <c r="A872" t="s">
        <v>518</v>
      </c>
      <c r="B872" t="s">
        <v>3306</v>
      </c>
      <c r="C872" t="s">
        <v>1066</v>
      </c>
      <c r="D872" t="s">
        <v>3307</v>
      </c>
      <c r="E872" t="s">
        <v>3308</v>
      </c>
      <c r="F872" t="s">
        <v>612</v>
      </c>
      <c r="G872" t="s">
        <v>613</v>
      </c>
      <c r="H872" t="s">
        <v>618</v>
      </c>
    </row>
    <row r="873" spans="1:8" x14ac:dyDescent="0.25">
      <c r="A873" t="s">
        <v>3309</v>
      </c>
      <c r="B873" t="s">
        <v>3310</v>
      </c>
      <c r="C873" t="s">
        <v>1431</v>
      </c>
      <c r="D873" t="s">
        <v>1972</v>
      </c>
      <c r="F873" t="s">
        <v>612</v>
      </c>
      <c r="G873" t="s">
        <v>613</v>
      </c>
      <c r="H873" t="s">
        <v>681</v>
      </c>
    </row>
    <row r="874" spans="1:8" x14ac:dyDescent="0.25">
      <c r="A874" t="s">
        <v>3311</v>
      </c>
      <c r="B874" t="s">
        <v>3312</v>
      </c>
      <c r="C874" t="s">
        <v>2635</v>
      </c>
      <c r="D874" t="s">
        <v>3313</v>
      </c>
      <c r="E874" t="s">
        <v>3314</v>
      </c>
      <c r="F874" t="s">
        <v>612</v>
      </c>
      <c r="G874" t="s">
        <v>613</v>
      </c>
      <c r="H874" t="s">
        <v>634</v>
      </c>
    </row>
    <row r="875" spans="1:8" x14ac:dyDescent="0.25">
      <c r="A875" t="s">
        <v>3315</v>
      </c>
      <c r="B875" t="s">
        <v>3316</v>
      </c>
      <c r="C875" t="s">
        <v>1513</v>
      </c>
      <c r="D875" t="s">
        <v>3317</v>
      </c>
      <c r="E875" t="s">
        <v>3318</v>
      </c>
      <c r="F875" t="s">
        <v>612</v>
      </c>
      <c r="G875" t="s">
        <v>613</v>
      </c>
      <c r="H875" t="s">
        <v>892</v>
      </c>
    </row>
    <row r="876" spans="1:8" x14ac:dyDescent="0.25">
      <c r="A876" t="s">
        <v>414</v>
      </c>
      <c r="B876" t="s">
        <v>3319</v>
      </c>
      <c r="C876" t="s">
        <v>752</v>
      </c>
      <c r="D876" t="s">
        <v>833</v>
      </c>
      <c r="E876" t="s">
        <v>3320</v>
      </c>
      <c r="F876" t="s">
        <v>612</v>
      </c>
      <c r="G876" t="s">
        <v>613</v>
      </c>
      <c r="H876" t="s">
        <v>618</v>
      </c>
    </row>
    <row r="877" spans="1:8" x14ac:dyDescent="0.25">
      <c r="A877" t="s">
        <v>3321</v>
      </c>
      <c r="B877" t="s">
        <v>3322</v>
      </c>
      <c r="C877" t="s">
        <v>744</v>
      </c>
      <c r="D877" t="s">
        <v>1450</v>
      </c>
      <c r="E877" t="s">
        <v>3323</v>
      </c>
      <c r="F877" t="s">
        <v>612</v>
      </c>
      <c r="G877" t="s">
        <v>613</v>
      </c>
      <c r="H877" t="s">
        <v>618</v>
      </c>
    </row>
    <row r="878" spans="1:8" x14ac:dyDescent="0.25">
      <c r="A878" t="s">
        <v>3324</v>
      </c>
      <c r="B878" t="s">
        <v>3325</v>
      </c>
      <c r="C878" t="s">
        <v>1431</v>
      </c>
      <c r="D878" t="s">
        <v>1972</v>
      </c>
      <c r="E878" t="s">
        <v>3326</v>
      </c>
      <c r="F878" t="s">
        <v>612</v>
      </c>
      <c r="G878" t="s">
        <v>613</v>
      </c>
      <c r="H878" t="s">
        <v>681</v>
      </c>
    </row>
    <row r="879" spans="1:8" x14ac:dyDescent="0.25">
      <c r="A879" t="s">
        <v>3327</v>
      </c>
      <c r="B879" t="s">
        <v>3328</v>
      </c>
      <c r="C879" t="s">
        <v>3329</v>
      </c>
      <c r="D879" t="s">
        <v>1041</v>
      </c>
      <c r="E879" t="s">
        <v>3330</v>
      </c>
      <c r="F879" t="s">
        <v>612</v>
      </c>
      <c r="G879" t="s">
        <v>613</v>
      </c>
      <c r="H879" t="s">
        <v>648</v>
      </c>
    </row>
    <row r="880" spans="1:8" x14ac:dyDescent="0.25">
      <c r="A880" t="s">
        <v>423</v>
      </c>
      <c r="B880" t="s">
        <v>3331</v>
      </c>
      <c r="C880" t="s">
        <v>616</v>
      </c>
      <c r="D880" t="s">
        <v>1294</v>
      </c>
      <c r="E880" t="s">
        <v>3332</v>
      </c>
      <c r="F880" t="s">
        <v>612</v>
      </c>
      <c r="G880" t="s">
        <v>613</v>
      </c>
      <c r="H880" t="s">
        <v>618</v>
      </c>
    </row>
    <row r="881" spans="1:8" x14ac:dyDescent="0.25">
      <c r="A881" t="s">
        <v>3333</v>
      </c>
      <c r="B881" t="s">
        <v>3334</v>
      </c>
      <c r="C881" t="s">
        <v>768</v>
      </c>
      <c r="D881" t="s">
        <v>769</v>
      </c>
      <c r="E881" t="s">
        <v>3335</v>
      </c>
      <c r="F881" t="s">
        <v>612</v>
      </c>
      <c r="G881" t="s">
        <v>613</v>
      </c>
      <c r="H881" t="s">
        <v>655</v>
      </c>
    </row>
    <row r="882" spans="1:8" x14ac:dyDescent="0.25">
      <c r="A882" t="s">
        <v>3336</v>
      </c>
      <c r="B882" t="s">
        <v>3337</v>
      </c>
      <c r="C882" t="s">
        <v>1346</v>
      </c>
      <c r="D882" t="s">
        <v>1214</v>
      </c>
      <c r="F882" t="s">
        <v>612</v>
      </c>
      <c r="G882" t="s">
        <v>613</v>
      </c>
      <c r="H882" t="s">
        <v>618</v>
      </c>
    </row>
    <row r="883" spans="1:8" x14ac:dyDescent="0.25">
      <c r="A883" t="s">
        <v>3338</v>
      </c>
      <c r="B883" t="s">
        <v>3339</v>
      </c>
      <c r="C883" t="s">
        <v>616</v>
      </c>
      <c r="D883" t="s">
        <v>977</v>
      </c>
      <c r="F883" t="s">
        <v>612</v>
      </c>
      <c r="G883" t="s">
        <v>613</v>
      </c>
      <c r="H883" t="s">
        <v>618</v>
      </c>
    </row>
    <row r="884" spans="1:8" x14ac:dyDescent="0.25">
      <c r="A884" t="s">
        <v>3340</v>
      </c>
      <c r="B884" t="s">
        <v>3341</v>
      </c>
      <c r="C884" t="s">
        <v>616</v>
      </c>
      <c r="D884" t="s">
        <v>3342</v>
      </c>
      <c r="F884" t="s">
        <v>612</v>
      </c>
      <c r="G884" t="s">
        <v>613</v>
      </c>
      <c r="H884" t="s">
        <v>618</v>
      </c>
    </row>
    <row r="885" spans="1:8" x14ac:dyDescent="0.25">
      <c r="A885" t="s">
        <v>230</v>
      </c>
      <c r="B885" t="s">
        <v>3343</v>
      </c>
      <c r="C885" t="s">
        <v>836</v>
      </c>
      <c r="D885" t="s">
        <v>3344</v>
      </c>
      <c r="E885" t="s">
        <v>3345</v>
      </c>
      <c r="F885" t="s">
        <v>612</v>
      </c>
      <c r="G885" t="s">
        <v>613</v>
      </c>
      <c r="H885" t="s">
        <v>634</v>
      </c>
    </row>
    <row r="886" spans="1:8" x14ac:dyDescent="0.25">
      <c r="A886" t="s">
        <v>3346</v>
      </c>
      <c r="B886" t="s">
        <v>3347</v>
      </c>
      <c r="C886" t="s">
        <v>86</v>
      </c>
      <c r="D886" t="s">
        <v>3348</v>
      </c>
      <c r="E886" t="s">
        <v>3349</v>
      </c>
      <c r="F886" t="s">
        <v>612</v>
      </c>
      <c r="G886" t="s">
        <v>613</v>
      </c>
      <c r="H886" t="s">
        <v>634</v>
      </c>
    </row>
    <row r="887" spans="1:8" x14ac:dyDescent="0.25">
      <c r="A887" t="s">
        <v>3350</v>
      </c>
      <c r="B887" t="s">
        <v>3351</v>
      </c>
      <c r="C887" t="s">
        <v>775</v>
      </c>
      <c r="D887" t="s">
        <v>769</v>
      </c>
      <c r="E887" t="s">
        <v>3352</v>
      </c>
      <c r="F887" t="s">
        <v>612</v>
      </c>
      <c r="G887" t="s">
        <v>613</v>
      </c>
      <c r="H887" t="s">
        <v>655</v>
      </c>
    </row>
    <row r="888" spans="1:8" x14ac:dyDescent="0.25">
      <c r="A888" t="s">
        <v>3353</v>
      </c>
      <c r="B888" t="s">
        <v>3354</v>
      </c>
      <c r="C888" t="s">
        <v>640</v>
      </c>
      <c r="D888" t="s">
        <v>753</v>
      </c>
      <c r="E888" t="s">
        <v>3355</v>
      </c>
      <c r="F888" t="s">
        <v>612</v>
      </c>
      <c r="G888" t="s">
        <v>613</v>
      </c>
      <c r="H888" t="s">
        <v>618</v>
      </c>
    </row>
    <row r="889" spans="1:8" x14ac:dyDescent="0.25">
      <c r="A889" t="s">
        <v>3356</v>
      </c>
      <c r="B889" t="s">
        <v>3357</v>
      </c>
      <c r="C889" t="s">
        <v>716</v>
      </c>
      <c r="D889" t="s">
        <v>3358</v>
      </c>
      <c r="E889" t="s">
        <v>3359</v>
      </c>
      <c r="F889" t="s">
        <v>612</v>
      </c>
      <c r="G889" t="s">
        <v>613</v>
      </c>
      <c r="H889" t="s">
        <v>655</v>
      </c>
    </row>
    <row r="890" spans="1:8" x14ac:dyDescent="0.25">
      <c r="A890" t="s">
        <v>508</v>
      </c>
      <c r="B890" t="s">
        <v>3360</v>
      </c>
      <c r="C890" t="s">
        <v>749</v>
      </c>
      <c r="D890" t="s">
        <v>728</v>
      </c>
      <c r="F890" t="s">
        <v>612</v>
      </c>
      <c r="G890" t="s">
        <v>613</v>
      </c>
      <c r="H890" t="s">
        <v>618</v>
      </c>
    </row>
    <row r="891" spans="1:8" x14ac:dyDescent="0.25">
      <c r="A891" t="s">
        <v>536</v>
      </c>
      <c r="B891" t="s">
        <v>3361</v>
      </c>
      <c r="C891" t="s">
        <v>168</v>
      </c>
      <c r="D891" t="s">
        <v>3362</v>
      </c>
      <c r="E891" t="s">
        <v>3363</v>
      </c>
      <c r="F891" t="s">
        <v>612</v>
      </c>
      <c r="G891" t="s">
        <v>613</v>
      </c>
      <c r="H891" t="s">
        <v>655</v>
      </c>
    </row>
    <row r="892" spans="1:8" x14ac:dyDescent="0.25">
      <c r="A892" t="s">
        <v>3364</v>
      </c>
      <c r="B892" t="s">
        <v>3365</v>
      </c>
      <c r="C892" t="s">
        <v>752</v>
      </c>
      <c r="D892" t="s">
        <v>1416</v>
      </c>
      <c r="E892" t="s">
        <v>3366</v>
      </c>
      <c r="F892" t="s">
        <v>612</v>
      </c>
      <c r="G892" t="s">
        <v>613</v>
      </c>
      <c r="H892" t="s">
        <v>618</v>
      </c>
    </row>
    <row r="893" spans="1:8" x14ac:dyDescent="0.25">
      <c r="A893" t="s">
        <v>3367</v>
      </c>
      <c r="B893" t="s">
        <v>3368</v>
      </c>
      <c r="C893" t="s">
        <v>640</v>
      </c>
      <c r="D893" t="s">
        <v>1492</v>
      </c>
      <c r="F893" t="s">
        <v>612</v>
      </c>
      <c r="G893" t="s">
        <v>613</v>
      </c>
      <c r="H893" t="s">
        <v>618</v>
      </c>
    </row>
    <row r="894" spans="1:8" x14ac:dyDescent="0.25">
      <c r="A894" t="s">
        <v>357</v>
      </c>
      <c r="B894" t="s">
        <v>3369</v>
      </c>
      <c r="C894" t="s">
        <v>691</v>
      </c>
      <c r="D894" t="s">
        <v>3370</v>
      </c>
      <c r="F894" t="s">
        <v>612</v>
      </c>
      <c r="G894" t="s">
        <v>613</v>
      </c>
      <c r="H894" t="s">
        <v>634</v>
      </c>
    </row>
    <row r="895" spans="1:8" x14ac:dyDescent="0.25">
      <c r="A895" t="s">
        <v>247</v>
      </c>
      <c r="B895" t="s">
        <v>3371</v>
      </c>
      <c r="C895" t="s">
        <v>86</v>
      </c>
      <c r="D895" t="s">
        <v>2550</v>
      </c>
      <c r="E895" t="s">
        <v>3372</v>
      </c>
      <c r="F895" t="s">
        <v>612</v>
      </c>
      <c r="G895" t="s">
        <v>613</v>
      </c>
      <c r="H895" t="s">
        <v>634</v>
      </c>
    </row>
    <row r="896" spans="1:8" x14ac:dyDescent="0.25">
      <c r="A896" t="s">
        <v>244</v>
      </c>
      <c r="B896" t="s">
        <v>3373</v>
      </c>
      <c r="C896" t="s">
        <v>86</v>
      </c>
      <c r="D896" t="s">
        <v>3374</v>
      </c>
      <c r="E896" t="s">
        <v>3375</v>
      </c>
      <c r="F896" t="s">
        <v>612</v>
      </c>
      <c r="G896" t="s">
        <v>613</v>
      </c>
      <c r="H896" t="s">
        <v>634</v>
      </c>
    </row>
    <row r="897" spans="1:8" x14ac:dyDescent="0.25">
      <c r="A897" t="s">
        <v>3376</v>
      </c>
      <c r="B897" t="s">
        <v>3377</v>
      </c>
      <c r="C897" t="s">
        <v>211</v>
      </c>
      <c r="D897" t="s">
        <v>3317</v>
      </c>
      <c r="E897" t="s">
        <v>3378</v>
      </c>
      <c r="F897" t="s">
        <v>612</v>
      </c>
      <c r="G897" t="s">
        <v>613</v>
      </c>
      <c r="H897" t="s">
        <v>634</v>
      </c>
    </row>
    <row r="898" spans="1:8" x14ac:dyDescent="0.25">
      <c r="A898" t="s">
        <v>229</v>
      </c>
      <c r="B898" t="s">
        <v>3379</v>
      </c>
      <c r="C898" t="s">
        <v>86</v>
      </c>
      <c r="D898" t="s">
        <v>3380</v>
      </c>
      <c r="E898" t="s">
        <v>3381</v>
      </c>
      <c r="F898" t="s">
        <v>612</v>
      </c>
      <c r="G898" t="s">
        <v>613</v>
      </c>
      <c r="H898" t="s">
        <v>634</v>
      </c>
    </row>
    <row r="899" spans="1:8" x14ac:dyDescent="0.25">
      <c r="A899" t="s">
        <v>49</v>
      </c>
      <c r="B899" t="s">
        <v>3382</v>
      </c>
      <c r="C899" t="s">
        <v>616</v>
      </c>
      <c r="D899" t="s">
        <v>2638</v>
      </c>
      <c r="E899" t="s">
        <v>3383</v>
      </c>
      <c r="F899" t="s">
        <v>612</v>
      </c>
      <c r="G899" t="s">
        <v>613</v>
      </c>
      <c r="H899" t="s">
        <v>618</v>
      </c>
    </row>
    <row r="900" spans="1:8" x14ac:dyDescent="0.25">
      <c r="A900" t="s">
        <v>261</v>
      </c>
      <c r="B900" t="s">
        <v>3384</v>
      </c>
      <c r="C900" t="s">
        <v>836</v>
      </c>
      <c r="D900" t="s">
        <v>1972</v>
      </c>
      <c r="E900" t="s">
        <v>3385</v>
      </c>
      <c r="F900" t="s">
        <v>612</v>
      </c>
      <c r="G900" t="s">
        <v>613</v>
      </c>
      <c r="H900" t="s">
        <v>634</v>
      </c>
    </row>
    <row r="901" spans="1:8" x14ac:dyDescent="0.25">
      <c r="A901" t="s">
        <v>463</v>
      </c>
      <c r="B901" t="s">
        <v>3386</v>
      </c>
      <c r="C901" t="s">
        <v>749</v>
      </c>
      <c r="D901" t="s">
        <v>3387</v>
      </c>
      <c r="E901" t="s">
        <v>3388</v>
      </c>
      <c r="F901" t="s">
        <v>612</v>
      </c>
      <c r="G901" t="s">
        <v>613</v>
      </c>
      <c r="H901" t="s">
        <v>618</v>
      </c>
    </row>
  </sheetData>
  <phoneticPr fontId="19" type="noConversion"/>
  <conditionalFormatting sqref="A1:A901 E1:E901">
    <cfRule type="duplicateValues" dxfId="281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1582E-F5D6-4C5A-A086-0EF6788CB12C}">
  <dimension ref="A1:XAO405"/>
  <sheetViews>
    <sheetView workbookViewId="0">
      <selection activeCell="A331" sqref="A331:B348"/>
    </sheetView>
  </sheetViews>
  <sheetFormatPr defaultColWidth="9" defaultRowHeight="14.4" x14ac:dyDescent="0.25"/>
  <cols>
    <col min="1" max="1" width="11.77734375" customWidth="1"/>
    <col min="2" max="2" width="15.33203125" style="1" customWidth="1"/>
    <col min="3" max="3" width="9" style="1"/>
    <col min="4" max="4" width="11.77734375" customWidth="1"/>
    <col min="5" max="16265" width="9" style="1"/>
  </cols>
  <sheetData>
    <row r="1" spans="1:4" s="2" customFormat="1" ht="31.95" customHeight="1" x14ac:dyDescent="0.25">
      <c r="A1" s="177" t="s">
        <v>3400</v>
      </c>
      <c r="B1" s="7" t="s">
        <v>5</v>
      </c>
      <c r="C1" s="2" t="s">
        <v>2</v>
      </c>
      <c r="D1" s="177" t="s">
        <v>3400</v>
      </c>
    </row>
    <row r="2" spans="1:4" s="1" customFormat="1" ht="30" customHeight="1" x14ac:dyDescent="0.25">
      <c r="A2" s="1" t="s">
        <v>3243</v>
      </c>
      <c r="B2" s="15" t="s">
        <v>283</v>
      </c>
      <c r="C2" s="1" t="s">
        <v>282</v>
      </c>
      <c r="D2" s="1" t="s">
        <v>3243</v>
      </c>
    </row>
    <row r="3" spans="1:4" s="1" customFormat="1" ht="30" customHeight="1" x14ac:dyDescent="0.25">
      <c r="A3" s="1" t="s">
        <v>825</v>
      </c>
      <c r="B3" s="15" t="s">
        <v>343</v>
      </c>
      <c r="C3" s="1" t="s">
        <v>341</v>
      </c>
      <c r="D3" s="1" t="s">
        <v>825</v>
      </c>
    </row>
    <row r="4" spans="1:4" s="1" customFormat="1" ht="30" customHeight="1" x14ac:dyDescent="0.25">
      <c r="A4" s="1" t="s">
        <v>1101</v>
      </c>
      <c r="B4" s="61" t="s">
        <v>180</v>
      </c>
      <c r="C4" s="1" t="s">
        <v>179</v>
      </c>
      <c r="D4" s="1" t="s">
        <v>1101</v>
      </c>
    </row>
    <row r="5" spans="1:4" s="1" customFormat="1" ht="30" customHeight="1" x14ac:dyDescent="0.25">
      <c r="A5" s="1" t="s">
        <v>2099</v>
      </c>
      <c r="B5" s="61" t="s">
        <v>181</v>
      </c>
      <c r="C5" s="1" t="s">
        <v>179</v>
      </c>
      <c r="D5" s="1" t="s">
        <v>2099</v>
      </c>
    </row>
    <row r="6" spans="1:4" s="1" customFormat="1" ht="30" customHeight="1" x14ac:dyDescent="0.25">
      <c r="A6" s="1" t="s">
        <v>2725</v>
      </c>
      <c r="B6" s="55" t="s">
        <v>363</v>
      </c>
      <c r="C6" s="1" t="s">
        <v>362</v>
      </c>
      <c r="D6" s="1" t="s">
        <v>2725</v>
      </c>
    </row>
    <row r="7" spans="1:4" s="1" customFormat="1" ht="30" customHeight="1" x14ac:dyDescent="0.25">
      <c r="A7" s="1" t="s">
        <v>2343</v>
      </c>
      <c r="B7" s="15" t="s">
        <v>63</v>
      </c>
      <c r="C7" s="1" t="s">
        <v>62</v>
      </c>
      <c r="D7" s="1" t="s">
        <v>2343</v>
      </c>
    </row>
    <row r="8" spans="1:4" s="1" customFormat="1" ht="30" customHeight="1" x14ac:dyDescent="0.25">
      <c r="A8" s="1" t="s">
        <v>2423</v>
      </c>
      <c r="B8" s="61" t="s">
        <v>418</v>
      </c>
      <c r="C8" s="1" t="s">
        <v>417</v>
      </c>
      <c r="D8" s="1" t="s">
        <v>2423</v>
      </c>
    </row>
    <row r="9" spans="1:4" s="1" customFormat="1" ht="30" customHeight="1" x14ac:dyDescent="0.25">
      <c r="A9" s="1" t="s">
        <v>1897</v>
      </c>
      <c r="B9" s="15" t="s">
        <v>78</v>
      </c>
      <c r="C9" s="1" t="s">
        <v>77</v>
      </c>
      <c r="D9" s="1" t="s">
        <v>1897</v>
      </c>
    </row>
    <row r="10" spans="1:4" s="1" customFormat="1" ht="30" customHeight="1" x14ac:dyDescent="0.25">
      <c r="A10" s="1" t="s">
        <v>1347</v>
      </c>
      <c r="B10" s="15" t="s">
        <v>166</v>
      </c>
      <c r="C10" s="1" t="s">
        <v>165</v>
      </c>
      <c r="D10" s="1" t="s">
        <v>1347</v>
      </c>
    </row>
    <row r="11" spans="1:4" s="1" customFormat="1" ht="30" customHeight="1" x14ac:dyDescent="0.25">
      <c r="A11" s="1" t="s">
        <v>1784</v>
      </c>
      <c r="B11" s="61" t="s">
        <v>284</v>
      </c>
      <c r="C11" s="1" t="s">
        <v>282</v>
      </c>
      <c r="D11" s="1" t="s">
        <v>1784</v>
      </c>
    </row>
    <row r="12" spans="1:4" s="1" customFormat="1" ht="30" customHeight="1" x14ac:dyDescent="0.25">
      <c r="A12" s="1" t="s">
        <v>1677</v>
      </c>
      <c r="B12" s="15" t="s">
        <v>516</v>
      </c>
      <c r="C12" s="1" t="s">
        <v>515</v>
      </c>
      <c r="D12" s="1" t="s">
        <v>1677</v>
      </c>
    </row>
    <row r="13" spans="1:4" s="1" customFormat="1" ht="30" customHeight="1" x14ac:dyDescent="0.25">
      <c r="A13" s="1" t="s">
        <v>1617</v>
      </c>
      <c r="B13" s="15" t="s">
        <v>60</v>
      </c>
      <c r="C13" s="1" t="s">
        <v>59</v>
      </c>
      <c r="D13" s="1" t="s">
        <v>1617</v>
      </c>
    </row>
    <row r="14" spans="1:4" s="1" customFormat="1" ht="30" customHeight="1" x14ac:dyDescent="0.25">
      <c r="A14" s="1" t="s">
        <v>1083</v>
      </c>
      <c r="B14" s="15" t="s">
        <v>61</v>
      </c>
      <c r="C14" s="1" t="s">
        <v>59</v>
      </c>
      <c r="D14" s="1" t="s">
        <v>1083</v>
      </c>
    </row>
    <row r="15" spans="1:4" s="1" customFormat="1" ht="30" customHeight="1" x14ac:dyDescent="0.25">
      <c r="A15" s="1" t="s">
        <v>771</v>
      </c>
      <c r="B15" s="15" t="s">
        <v>186</v>
      </c>
      <c r="C15" s="1" t="s">
        <v>185</v>
      </c>
      <c r="D15" s="1" t="s">
        <v>771</v>
      </c>
    </row>
    <row r="16" spans="1:4" s="1" customFormat="1" ht="30" customHeight="1" x14ac:dyDescent="0.25">
      <c r="A16" s="1" t="s">
        <v>1296</v>
      </c>
      <c r="B16" s="15" t="s">
        <v>307</v>
      </c>
      <c r="C16" s="1" t="s">
        <v>306</v>
      </c>
      <c r="D16" s="1" t="s">
        <v>1296</v>
      </c>
    </row>
    <row r="17" spans="1:4" s="1" customFormat="1" ht="30" customHeight="1" x14ac:dyDescent="0.25">
      <c r="A17" s="1" t="s">
        <v>3386</v>
      </c>
      <c r="B17" s="15" t="s">
        <v>463</v>
      </c>
      <c r="C17" s="1" t="s">
        <v>459</v>
      </c>
      <c r="D17" s="1" t="s">
        <v>3386</v>
      </c>
    </row>
    <row r="18" spans="1:4" s="1" customFormat="1" ht="30" customHeight="1" x14ac:dyDescent="0.25">
      <c r="A18" s="1" t="s">
        <v>1722</v>
      </c>
      <c r="B18" s="15" t="s">
        <v>466</v>
      </c>
      <c r="C18" s="1" t="s">
        <v>464</v>
      </c>
      <c r="D18" s="1" t="s">
        <v>1722</v>
      </c>
    </row>
    <row r="19" spans="1:4" s="1" customFormat="1" ht="30" customHeight="1" x14ac:dyDescent="0.25">
      <c r="A19" s="1" t="s">
        <v>841</v>
      </c>
      <c r="B19" s="61" t="s">
        <v>183</v>
      </c>
      <c r="C19" s="1" t="s">
        <v>182</v>
      </c>
      <c r="D19" s="1" t="s">
        <v>841</v>
      </c>
    </row>
    <row r="20" spans="1:4" s="1" customFormat="1" ht="30" customHeight="1" x14ac:dyDescent="0.25">
      <c r="A20" s="1" t="s">
        <v>1555</v>
      </c>
      <c r="B20" s="15" t="s">
        <v>462</v>
      </c>
      <c r="C20" s="1" t="s">
        <v>459</v>
      </c>
      <c r="D20" s="1" t="s">
        <v>1555</v>
      </c>
    </row>
    <row r="21" spans="1:4" s="1" customFormat="1" ht="30" customHeight="1" x14ac:dyDescent="0.25">
      <c r="A21" s="1" t="s">
        <v>2991</v>
      </c>
      <c r="B21" s="61" t="s">
        <v>264</v>
      </c>
      <c r="C21" s="1" t="s">
        <v>262</v>
      </c>
      <c r="D21" s="1" t="s">
        <v>2991</v>
      </c>
    </row>
    <row r="22" spans="1:4" s="1" customFormat="1" ht="30" customHeight="1" x14ac:dyDescent="0.25">
      <c r="A22" s="1" t="s">
        <v>2382</v>
      </c>
      <c r="B22" s="15" t="s">
        <v>373</v>
      </c>
      <c r="C22" s="1" t="s">
        <v>372</v>
      </c>
      <c r="D22" s="1" t="s">
        <v>2382</v>
      </c>
    </row>
    <row r="23" spans="1:4" s="1" customFormat="1" ht="30" customHeight="1" x14ac:dyDescent="0.25">
      <c r="A23" s="1" t="s">
        <v>672</v>
      </c>
      <c r="B23" s="61" t="s">
        <v>184</v>
      </c>
      <c r="C23" s="1" t="s">
        <v>182</v>
      </c>
      <c r="D23" s="1" t="s">
        <v>672</v>
      </c>
    </row>
    <row r="24" spans="1:4" s="1" customFormat="1" ht="30" customHeight="1" x14ac:dyDescent="0.25">
      <c r="A24" s="1" t="s">
        <v>813</v>
      </c>
      <c r="B24" s="15" t="s">
        <v>376</v>
      </c>
      <c r="C24" s="1" t="s">
        <v>372</v>
      </c>
      <c r="D24" s="1" t="s">
        <v>813</v>
      </c>
    </row>
    <row r="25" spans="1:4" s="1" customFormat="1" ht="30" customHeight="1" x14ac:dyDescent="0.25">
      <c r="A25" s="1" t="s">
        <v>2166</v>
      </c>
      <c r="B25" s="15" t="s">
        <v>528</v>
      </c>
      <c r="C25" s="1" t="s">
        <v>527</v>
      </c>
      <c r="D25" s="1" t="s">
        <v>2166</v>
      </c>
    </row>
    <row r="26" spans="1:4" s="1" customFormat="1" ht="30" customHeight="1" x14ac:dyDescent="0.25">
      <c r="A26" s="1" t="s">
        <v>3206</v>
      </c>
      <c r="B26" s="173" t="s">
        <v>393</v>
      </c>
      <c r="C26" s="1" t="s">
        <v>392</v>
      </c>
      <c r="D26" s="1" t="s">
        <v>3206</v>
      </c>
    </row>
    <row r="27" spans="1:4" s="1" customFormat="1" ht="30" customHeight="1" x14ac:dyDescent="0.25">
      <c r="A27" s="1" t="s">
        <v>969</v>
      </c>
      <c r="B27" s="15" t="s">
        <v>250</v>
      </c>
      <c r="C27" s="1" t="s">
        <v>249</v>
      </c>
      <c r="D27" s="1" t="s">
        <v>969</v>
      </c>
    </row>
    <row r="28" spans="1:4" s="1" customFormat="1" ht="30" customHeight="1" x14ac:dyDescent="0.25">
      <c r="A28" s="1" t="s">
        <v>2717</v>
      </c>
      <c r="B28" s="15" t="s">
        <v>194</v>
      </c>
      <c r="C28" s="1" t="s">
        <v>191</v>
      </c>
      <c r="D28" s="1" t="s">
        <v>2717</v>
      </c>
    </row>
    <row r="29" spans="1:4" s="1" customFormat="1" ht="30" customHeight="1" x14ac:dyDescent="0.25">
      <c r="A29" s="1" t="s">
        <v>1852</v>
      </c>
      <c r="B29" s="15" t="s">
        <v>501</v>
      </c>
      <c r="C29" s="1" t="s">
        <v>500</v>
      </c>
      <c r="D29" s="1" t="s">
        <v>1852</v>
      </c>
    </row>
    <row r="30" spans="1:4" s="1" customFormat="1" ht="30" customHeight="1" x14ac:dyDescent="0.25">
      <c r="A30" s="1" t="s">
        <v>3155</v>
      </c>
      <c r="B30" s="169" t="s">
        <v>299</v>
      </c>
      <c r="C30" s="1" t="s">
        <v>297</v>
      </c>
      <c r="D30" s="1" t="s">
        <v>3155</v>
      </c>
    </row>
    <row r="31" spans="1:4" s="1" customFormat="1" ht="30" customHeight="1" x14ac:dyDescent="0.25">
      <c r="A31" s="1" t="s">
        <v>890</v>
      </c>
      <c r="B31" s="15" t="s">
        <v>286</v>
      </c>
      <c r="C31" s="1" t="s">
        <v>285</v>
      </c>
      <c r="D31" s="1" t="s">
        <v>890</v>
      </c>
    </row>
    <row r="32" spans="1:4" s="1" customFormat="1" ht="30" customHeight="1" x14ac:dyDescent="0.25">
      <c r="A32" s="1" t="s">
        <v>1395</v>
      </c>
      <c r="B32" s="55" t="s">
        <v>364</v>
      </c>
      <c r="C32" s="1" t="s">
        <v>362</v>
      </c>
      <c r="D32" s="1" t="s">
        <v>1395</v>
      </c>
    </row>
    <row r="33" spans="1:4" s="1" customFormat="1" ht="30" customHeight="1" x14ac:dyDescent="0.25">
      <c r="A33" s="1" t="s">
        <v>3361</v>
      </c>
      <c r="B33" s="131" t="s">
        <v>536</v>
      </c>
      <c r="C33" s="1" t="s">
        <v>535</v>
      </c>
      <c r="D33" s="1" t="s">
        <v>3361</v>
      </c>
    </row>
    <row r="34" spans="1:4" s="1" customFormat="1" ht="30" customHeight="1" x14ac:dyDescent="0.25">
      <c r="A34" s="1" t="s">
        <v>2179</v>
      </c>
      <c r="B34" s="21" t="s">
        <v>241</v>
      </c>
      <c r="C34" s="1" t="s">
        <v>240</v>
      </c>
      <c r="D34" s="1" t="s">
        <v>2179</v>
      </c>
    </row>
    <row r="35" spans="1:4" s="1" customFormat="1" ht="30" customHeight="1" x14ac:dyDescent="0.25">
      <c r="A35" s="1" t="s">
        <v>2161</v>
      </c>
      <c r="B35" s="15" t="s">
        <v>41</v>
      </c>
      <c r="C35" s="1" t="s">
        <v>40</v>
      </c>
      <c r="D35" s="1" t="s">
        <v>2161</v>
      </c>
    </row>
    <row r="36" spans="1:4" s="1" customFormat="1" ht="30" customHeight="1" x14ac:dyDescent="0.25">
      <c r="A36" s="1" t="s">
        <v>822</v>
      </c>
      <c r="B36" s="15" t="s">
        <v>42</v>
      </c>
      <c r="C36" s="1" t="s">
        <v>40</v>
      </c>
      <c r="D36" s="1" t="s">
        <v>822</v>
      </c>
    </row>
    <row r="37" spans="1:4" s="1" customFormat="1" ht="30" customHeight="1" x14ac:dyDescent="0.25">
      <c r="A37" s="1" t="s">
        <v>1963</v>
      </c>
      <c r="B37" s="15" t="s">
        <v>39</v>
      </c>
      <c r="C37" s="1" t="s">
        <v>36</v>
      </c>
      <c r="D37" s="1" t="s">
        <v>1963</v>
      </c>
    </row>
    <row r="38" spans="1:4" s="1" customFormat="1" ht="30" customHeight="1" x14ac:dyDescent="0.25">
      <c r="A38" s="1" t="s">
        <v>1646</v>
      </c>
      <c r="B38" s="15" t="s">
        <v>37</v>
      </c>
      <c r="C38" s="1" t="s">
        <v>36</v>
      </c>
      <c r="D38" s="1" t="s">
        <v>1646</v>
      </c>
    </row>
    <row r="39" spans="1:4" s="1" customFormat="1" ht="30" customHeight="1" x14ac:dyDescent="0.25">
      <c r="A39" s="1" t="s">
        <v>3379</v>
      </c>
      <c r="B39" s="61" t="s">
        <v>229</v>
      </c>
      <c r="C39" s="1" t="s">
        <v>228</v>
      </c>
      <c r="D39" s="1" t="s">
        <v>3379</v>
      </c>
    </row>
    <row r="40" spans="1:4" s="1" customFormat="1" ht="30" customHeight="1" x14ac:dyDescent="0.25">
      <c r="A40" s="1" t="s">
        <v>3303</v>
      </c>
      <c r="B40" s="168" t="s">
        <v>534</v>
      </c>
      <c r="C40" s="1" t="s">
        <v>531</v>
      </c>
      <c r="D40" s="1" t="s">
        <v>3303</v>
      </c>
    </row>
    <row r="41" spans="1:4" s="1" customFormat="1" ht="30" customHeight="1" x14ac:dyDescent="0.25">
      <c r="A41" s="1" t="s">
        <v>1115</v>
      </c>
      <c r="B41" s="170" t="s">
        <v>461</v>
      </c>
      <c r="C41" s="1" t="s">
        <v>459</v>
      </c>
      <c r="D41" s="1" t="s">
        <v>1115</v>
      </c>
    </row>
    <row r="42" spans="1:4" s="1" customFormat="1" ht="30" customHeight="1" x14ac:dyDescent="0.25">
      <c r="A42" s="1" t="s">
        <v>2828</v>
      </c>
      <c r="B42" s="97" t="s">
        <v>350</v>
      </c>
      <c r="C42" s="1" t="s">
        <v>348</v>
      </c>
      <c r="D42" s="1" t="s">
        <v>2828</v>
      </c>
    </row>
    <row r="43" spans="1:4" s="1" customFormat="1" ht="30" customHeight="1" x14ac:dyDescent="0.25">
      <c r="A43" s="1" t="s">
        <v>3112</v>
      </c>
      <c r="B43" s="15" t="s">
        <v>465</v>
      </c>
      <c r="C43" s="1" t="s">
        <v>464</v>
      </c>
      <c r="D43" s="1" t="s">
        <v>3112</v>
      </c>
    </row>
    <row r="44" spans="1:4" s="1" customFormat="1" ht="30" customHeight="1" x14ac:dyDescent="0.25">
      <c r="A44" s="1" t="s">
        <v>1236</v>
      </c>
      <c r="B44" s="15" t="s">
        <v>270</v>
      </c>
      <c r="C44" s="1" t="s">
        <v>269</v>
      </c>
      <c r="D44" s="1" t="s">
        <v>1236</v>
      </c>
    </row>
    <row r="45" spans="1:4" s="1" customFormat="1" ht="30" customHeight="1" x14ac:dyDescent="0.25">
      <c r="A45" s="1" t="s">
        <v>2402</v>
      </c>
      <c r="B45" s="15" t="s">
        <v>279</v>
      </c>
      <c r="C45" s="1" t="s">
        <v>278</v>
      </c>
      <c r="D45" s="1" t="s">
        <v>2402</v>
      </c>
    </row>
    <row r="46" spans="1:4" s="1" customFormat="1" ht="30" customHeight="1" x14ac:dyDescent="0.25">
      <c r="A46" s="1" t="s">
        <v>2105</v>
      </c>
      <c r="B46" s="15" t="s">
        <v>167</v>
      </c>
      <c r="C46" s="1" t="s">
        <v>165</v>
      </c>
      <c r="D46" s="1" t="s">
        <v>2105</v>
      </c>
    </row>
    <row r="47" spans="1:4" s="1" customFormat="1" ht="30" customHeight="1" x14ac:dyDescent="0.25">
      <c r="A47" s="1" t="s">
        <v>3100</v>
      </c>
      <c r="B47" s="15" t="s">
        <v>522</v>
      </c>
      <c r="C47" s="1" t="s">
        <v>521</v>
      </c>
      <c r="D47" s="1" t="s">
        <v>3100</v>
      </c>
    </row>
    <row r="48" spans="1:4" s="1" customFormat="1" ht="30" customHeight="1" x14ac:dyDescent="0.25">
      <c r="A48" s="1" t="s">
        <v>2723</v>
      </c>
      <c r="B48" s="15" t="s">
        <v>323</v>
      </c>
      <c r="C48" s="1" t="s">
        <v>322</v>
      </c>
      <c r="D48" s="1" t="s">
        <v>2723</v>
      </c>
    </row>
    <row r="49" spans="1:4" s="1" customFormat="1" ht="30" customHeight="1" x14ac:dyDescent="0.25">
      <c r="A49" s="1" t="s">
        <v>2655</v>
      </c>
      <c r="B49" s="173" t="s">
        <v>523</v>
      </c>
      <c r="C49" s="1" t="s">
        <v>521</v>
      </c>
      <c r="D49" s="1" t="s">
        <v>2655</v>
      </c>
    </row>
    <row r="50" spans="1:4" s="1" customFormat="1" ht="30" customHeight="1" x14ac:dyDescent="0.25">
      <c r="A50" s="1" t="s">
        <v>2697</v>
      </c>
      <c r="B50" s="15" t="s">
        <v>287</v>
      </c>
      <c r="C50" s="1" t="s">
        <v>285</v>
      </c>
      <c r="D50" s="1" t="s">
        <v>2697</v>
      </c>
    </row>
    <row r="51" spans="1:4" s="1" customFormat="1" ht="30" customHeight="1" x14ac:dyDescent="0.25">
      <c r="A51" s="1" t="s">
        <v>3058</v>
      </c>
      <c r="B51" s="15" t="s">
        <v>450</v>
      </c>
      <c r="C51" s="1" t="s">
        <v>446</v>
      </c>
      <c r="D51" s="1" t="s">
        <v>3058</v>
      </c>
    </row>
    <row r="52" spans="1:4" s="1" customFormat="1" ht="30" customHeight="1" x14ac:dyDescent="0.25">
      <c r="A52" s="1" t="s">
        <v>786</v>
      </c>
      <c r="B52" s="173" t="s">
        <v>273</v>
      </c>
      <c r="C52" s="1" t="s">
        <v>272</v>
      </c>
      <c r="D52" s="1" t="s">
        <v>786</v>
      </c>
    </row>
    <row r="53" spans="1:4" s="1" customFormat="1" ht="30" customHeight="1" x14ac:dyDescent="0.25">
      <c r="A53" s="1" t="s">
        <v>1575</v>
      </c>
      <c r="B53" s="110" t="s">
        <v>504</v>
      </c>
      <c r="C53" s="1" t="s">
        <v>500</v>
      </c>
      <c r="D53" s="1" t="s">
        <v>1575</v>
      </c>
    </row>
    <row r="54" spans="1:4" s="1" customFormat="1" ht="30" customHeight="1" x14ac:dyDescent="0.25">
      <c r="A54" s="1" t="s">
        <v>931</v>
      </c>
      <c r="B54" s="223" t="s">
        <v>233</v>
      </c>
      <c r="C54" s="1" t="s">
        <v>231</v>
      </c>
      <c r="D54" s="1" t="s">
        <v>931</v>
      </c>
    </row>
    <row r="55" spans="1:4" s="1" customFormat="1" ht="30" customHeight="1" x14ac:dyDescent="0.25">
      <c r="A55" s="1" t="s">
        <v>1949</v>
      </c>
      <c r="B55" s="15" t="s">
        <v>225</v>
      </c>
      <c r="C55" s="1" t="s">
        <v>224</v>
      </c>
      <c r="D55" s="1" t="s">
        <v>1949</v>
      </c>
    </row>
    <row r="56" spans="1:4" s="1" customFormat="1" ht="30" customHeight="1" x14ac:dyDescent="0.25">
      <c r="A56" s="1" t="s">
        <v>664</v>
      </c>
      <c r="B56" s="15" t="s">
        <v>76</v>
      </c>
      <c r="C56" s="1" t="s">
        <v>75</v>
      </c>
      <c r="D56" s="1" t="s">
        <v>664</v>
      </c>
    </row>
    <row r="57" spans="1:4" s="1" customFormat="1" ht="30" customHeight="1" x14ac:dyDescent="0.25">
      <c r="A57" s="1" t="s">
        <v>3343</v>
      </c>
      <c r="B57" s="15" t="s">
        <v>230</v>
      </c>
      <c r="C57" s="1" t="s">
        <v>228</v>
      </c>
      <c r="D57" s="1" t="s">
        <v>3343</v>
      </c>
    </row>
    <row r="58" spans="1:4" s="1" customFormat="1" ht="30" customHeight="1" x14ac:dyDescent="0.25">
      <c r="A58" s="1" t="s">
        <v>3094</v>
      </c>
      <c r="B58" s="15" t="s">
        <v>251</v>
      </c>
      <c r="C58" s="1" t="s">
        <v>249</v>
      </c>
      <c r="D58" s="1" t="s">
        <v>3094</v>
      </c>
    </row>
    <row r="59" spans="1:4" s="1" customFormat="1" ht="30" customHeight="1" x14ac:dyDescent="0.25">
      <c r="A59" s="1" t="s">
        <v>3371</v>
      </c>
      <c r="B59" s="15" t="s">
        <v>247</v>
      </c>
      <c r="C59" s="1" t="s">
        <v>246</v>
      </c>
      <c r="D59" s="1" t="s">
        <v>3371</v>
      </c>
    </row>
    <row r="60" spans="1:4" s="1" customFormat="1" ht="30" customHeight="1" x14ac:dyDescent="0.25">
      <c r="A60" s="1" t="s">
        <v>2549</v>
      </c>
      <c r="B60" s="15" t="s">
        <v>232</v>
      </c>
      <c r="C60" s="1" t="s">
        <v>231</v>
      </c>
      <c r="D60" s="1" t="s">
        <v>2549</v>
      </c>
    </row>
    <row r="61" spans="1:4" s="1" customFormat="1" ht="30" customHeight="1" x14ac:dyDescent="0.25">
      <c r="A61" s="1" t="s">
        <v>2643</v>
      </c>
      <c r="B61" s="15" t="s">
        <v>524</v>
      </c>
      <c r="C61" s="1" t="s">
        <v>521</v>
      </c>
      <c r="D61" s="1" t="s">
        <v>2643</v>
      </c>
    </row>
    <row r="62" spans="1:4" s="1" customFormat="1" ht="30" customHeight="1" x14ac:dyDescent="0.25">
      <c r="A62" s="1" t="s">
        <v>1674</v>
      </c>
      <c r="B62" s="15" t="s">
        <v>236</v>
      </c>
      <c r="C62" s="1" t="s">
        <v>234</v>
      </c>
      <c r="D62" s="1" t="s">
        <v>1674</v>
      </c>
    </row>
    <row r="63" spans="1:4" s="1" customFormat="1" ht="30" customHeight="1" x14ac:dyDescent="0.25">
      <c r="A63" s="1" t="s">
        <v>2065</v>
      </c>
      <c r="B63" s="15" t="s">
        <v>248</v>
      </c>
      <c r="C63" s="1" t="s">
        <v>246</v>
      </c>
      <c r="D63" s="1" t="s">
        <v>2065</v>
      </c>
    </row>
    <row r="64" spans="1:4" s="1" customFormat="1" ht="30" customHeight="1" x14ac:dyDescent="0.25">
      <c r="A64" s="1" t="s">
        <v>3063</v>
      </c>
      <c r="B64" s="61" t="s">
        <v>274</v>
      </c>
      <c r="C64" s="1" t="s">
        <v>272</v>
      </c>
      <c r="D64" s="1" t="s">
        <v>3063</v>
      </c>
    </row>
    <row r="65" spans="1:4" s="1" customFormat="1" ht="30" customHeight="1" x14ac:dyDescent="0.25">
      <c r="A65" s="1" t="s">
        <v>3097</v>
      </c>
      <c r="B65" s="173" t="s">
        <v>281</v>
      </c>
      <c r="C65" s="1" t="s">
        <v>278</v>
      </c>
      <c r="D65" s="1" t="s">
        <v>3097</v>
      </c>
    </row>
    <row r="66" spans="1:4" s="1" customFormat="1" ht="30" customHeight="1" x14ac:dyDescent="0.25">
      <c r="A66" s="1" t="s">
        <v>694</v>
      </c>
      <c r="B66" s="15" t="s">
        <v>452</v>
      </c>
      <c r="C66" s="1" t="s">
        <v>451</v>
      </c>
      <c r="D66" s="1" t="s">
        <v>694</v>
      </c>
    </row>
    <row r="67" spans="1:4" s="1" customFormat="1" ht="30" customHeight="1" x14ac:dyDescent="0.25">
      <c r="A67" s="1" t="s">
        <v>2826</v>
      </c>
      <c r="B67" s="163" t="s">
        <v>101</v>
      </c>
      <c r="C67" s="1" t="s">
        <v>99</v>
      </c>
      <c r="D67" s="1" t="s">
        <v>2826</v>
      </c>
    </row>
    <row r="68" spans="1:4" s="1" customFormat="1" ht="30" customHeight="1" x14ac:dyDescent="0.25">
      <c r="A68" s="1" t="s">
        <v>2529</v>
      </c>
      <c r="B68" s="173" t="s">
        <v>192</v>
      </c>
      <c r="C68" s="1" t="s">
        <v>191</v>
      </c>
      <c r="D68" s="1" t="s">
        <v>2529</v>
      </c>
    </row>
    <row r="69" spans="1:4" s="1" customFormat="1" ht="30" customHeight="1" x14ac:dyDescent="0.25">
      <c r="A69" s="1" t="s">
        <v>1797</v>
      </c>
      <c r="B69" s="168" t="s">
        <v>35</v>
      </c>
      <c r="C69" s="1" t="s">
        <v>32</v>
      </c>
      <c r="D69" s="1" t="s">
        <v>1797</v>
      </c>
    </row>
    <row r="70" spans="1:4" s="1" customFormat="1" ht="30" customHeight="1" x14ac:dyDescent="0.25">
      <c r="A70" s="1" t="s">
        <v>2693</v>
      </c>
      <c r="B70" s="173" t="s">
        <v>193</v>
      </c>
      <c r="C70" s="1" t="s">
        <v>191</v>
      </c>
      <c r="D70" s="1" t="s">
        <v>2693</v>
      </c>
    </row>
    <row r="71" spans="1:4" s="1" customFormat="1" ht="30" customHeight="1" x14ac:dyDescent="0.25">
      <c r="A71" s="1" t="s">
        <v>2903</v>
      </c>
      <c r="B71" s="67" t="s">
        <v>385</v>
      </c>
      <c r="C71" s="1" t="s">
        <v>384</v>
      </c>
      <c r="D71" s="1" t="s">
        <v>2903</v>
      </c>
    </row>
    <row r="72" spans="1:4" s="1" customFormat="1" ht="30" customHeight="1" x14ac:dyDescent="0.25">
      <c r="A72" s="1" t="s">
        <v>3213</v>
      </c>
      <c r="B72" s="173" t="s">
        <v>187</v>
      </c>
      <c r="C72" s="1" t="s">
        <v>185</v>
      </c>
      <c r="D72" s="1" t="s">
        <v>3213</v>
      </c>
    </row>
    <row r="73" spans="1:4" s="1" customFormat="1" ht="30" customHeight="1" x14ac:dyDescent="0.25">
      <c r="A73" s="1" t="s">
        <v>2787</v>
      </c>
      <c r="B73" s="172" t="s">
        <v>532</v>
      </c>
      <c r="C73" s="1" t="s">
        <v>531</v>
      </c>
      <c r="D73" s="1" t="s">
        <v>2787</v>
      </c>
    </row>
    <row r="74" spans="1:4" s="1" customFormat="1" ht="30" customHeight="1" x14ac:dyDescent="0.25">
      <c r="A74" s="1" t="s">
        <v>3286</v>
      </c>
      <c r="B74" s="15" t="s">
        <v>14</v>
      </c>
      <c r="C74" s="1" t="s">
        <v>13</v>
      </c>
      <c r="D74" s="1" t="s">
        <v>3286</v>
      </c>
    </row>
    <row r="75" spans="1:4" s="1" customFormat="1" ht="30" customHeight="1" x14ac:dyDescent="0.25">
      <c r="A75" s="1" t="s">
        <v>2637</v>
      </c>
      <c r="B75" s="15" t="s">
        <v>48</v>
      </c>
      <c r="C75" s="1" t="s">
        <v>47</v>
      </c>
      <c r="D75" s="1" t="s">
        <v>2637</v>
      </c>
    </row>
    <row r="76" spans="1:4" s="1" customFormat="1" ht="30" customHeight="1" x14ac:dyDescent="0.25">
      <c r="A76" s="1" t="s">
        <v>3382</v>
      </c>
      <c r="B76" s="15" t="s">
        <v>49</v>
      </c>
      <c r="C76" s="1" t="s">
        <v>47</v>
      </c>
      <c r="D76" s="1" t="s">
        <v>3382</v>
      </c>
    </row>
    <row r="77" spans="1:4" s="1" customFormat="1" ht="30" customHeight="1" x14ac:dyDescent="0.25">
      <c r="A77" s="1" t="s">
        <v>2031</v>
      </c>
      <c r="B77" s="15" t="s">
        <v>428</v>
      </c>
      <c r="C77" s="1" t="s">
        <v>426</v>
      </c>
      <c r="D77" s="1" t="s">
        <v>2031</v>
      </c>
    </row>
    <row r="78" spans="1:4" s="1" customFormat="1" ht="30" customHeight="1" x14ac:dyDescent="0.25">
      <c r="A78" s="1" t="s">
        <v>2455</v>
      </c>
      <c r="B78" s="15" t="s">
        <v>537</v>
      </c>
      <c r="C78" s="1" t="s">
        <v>535</v>
      </c>
      <c r="D78" s="1" t="s">
        <v>2455</v>
      </c>
    </row>
    <row r="79" spans="1:4" s="1" customFormat="1" ht="30" customHeight="1" x14ac:dyDescent="0.25">
      <c r="A79" s="1" t="s">
        <v>3373</v>
      </c>
      <c r="B79" s="173" t="s">
        <v>244</v>
      </c>
      <c r="C79" s="1" t="s">
        <v>243</v>
      </c>
      <c r="D79" s="1" t="s">
        <v>3373</v>
      </c>
    </row>
    <row r="80" spans="1:4" s="1" customFormat="1" ht="30" customHeight="1" x14ac:dyDescent="0.25">
      <c r="A80" s="1" t="s">
        <v>2377</v>
      </c>
      <c r="B80" s="57" t="s">
        <v>100</v>
      </c>
      <c r="C80" s="1" t="s">
        <v>99</v>
      </c>
      <c r="D80" s="1" t="s">
        <v>2377</v>
      </c>
    </row>
    <row r="81" spans="1:4" s="1" customFormat="1" ht="30" customHeight="1" x14ac:dyDescent="0.25">
      <c r="A81" s="1" t="s">
        <v>2782</v>
      </c>
      <c r="B81" s="218" t="s">
        <v>460</v>
      </c>
      <c r="C81" s="1" t="s">
        <v>459</v>
      </c>
      <c r="D81" s="1" t="s">
        <v>2782</v>
      </c>
    </row>
    <row r="82" spans="1:4" s="1" customFormat="1" ht="30" customHeight="1" x14ac:dyDescent="0.25">
      <c r="A82" s="1" t="s">
        <v>835</v>
      </c>
      <c r="B82" s="75" t="s">
        <v>258</v>
      </c>
      <c r="C82" s="1" t="s">
        <v>255</v>
      </c>
      <c r="D82" s="1" t="s">
        <v>835</v>
      </c>
    </row>
    <row r="83" spans="1:4" s="1" customFormat="1" ht="30" customHeight="1" x14ac:dyDescent="0.25">
      <c r="A83" s="1" t="s">
        <v>2018</v>
      </c>
      <c r="B83" s="57" t="s">
        <v>316</v>
      </c>
      <c r="C83" s="1" t="s">
        <v>315</v>
      </c>
      <c r="D83" s="1" t="s">
        <v>2018</v>
      </c>
    </row>
    <row r="84" spans="1:4" s="1" customFormat="1" ht="30" customHeight="1" x14ac:dyDescent="0.25">
      <c r="A84" s="1" t="s">
        <v>1303</v>
      </c>
      <c r="B84" s="176" t="s">
        <v>138</v>
      </c>
      <c r="C84" s="1" t="s">
        <v>136</v>
      </c>
      <c r="D84" s="1" t="s">
        <v>1303</v>
      </c>
    </row>
    <row r="85" spans="1:4" s="1" customFormat="1" ht="30" customHeight="1" x14ac:dyDescent="0.25">
      <c r="A85" s="1" t="s">
        <v>924</v>
      </c>
      <c r="B85" s="173" t="s">
        <v>502</v>
      </c>
      <c r="C85" s="1" t="s">
        <v>500</v>
      </c>
      <c r="D85" s="1" t="s">
        <v>924</v>
      </c>
    </row>
    <row r="86" spans="1:4" s="1" customFormat="1" ht="30" customHeight="1" x14ac:dyDescent="0.25">
      <c r="A86" s="1" t="s">
        <v>1668</v>
      </c>
      <c r="B86" s="169" t="s">
        <v>51</v>
      </c>
      <c r="C86" s="1" t="s">
        <v>50</v>
      </c>
      <c r="D86" s="1" t="s">
        <v>1668</v>
      </c>
    </row>
    <row r="87" spans="1:4" s="1" customFormat="1" ht="30" customHeight="1" x14ac:dyDescent="0.25">
      <c r="A87" s="1" t="s">
        <v>1239</v>
      </c>
      <c r="B87" s="15" t="s">
        <v>503</v>
      </c>
      <c r="C87" s="1" t="s">
        <v>500</v>
      </c>
      <c r="D87" s="1" t="s">
        <v>1239</v>
      </c>
    </row>
    <row r="88" spans="1:4" s="1" customFormat="1" ht="30" customHeight="1" x14ac:dyDescent="0.25">
      <c r="A88" s="1" t="s">
        <v>763</v>
      </c>
      <c r="B88" s="15" t="s">
        <v>254</v>
      </c>
      <c r="C88" s="1" t="s">
        <v>252</v>
      </c>
      <c r="D88" s="1" t="s">
        <v>763</v>
      </c>
    </row>
    <row r="89" spans="1:4" s="1" customFormat="1" ht="30" customHeight="1" x14ac:dyDescent="0.25">
      <c r="A89" s="1" t="s">
        <v>811</v>
      </c>
      <c r="B89" s="173" t="s">
        <v>293</v>
      </c>
      <c r="C89" s="1" t="s">
        <v>291</v>
      </c>
      <c r="D89" s="1" t="s">
        <v>811</v>
      </c>
    </row>
    <row r="90" spans="1:4" s="1" customFormat="1" ht="30" customHeight="1" x14ac:dyDescent="0.25">
      <c r="A90" s="1" t="s">
        <v>1131</v>
      </c>
      <c r="B90" s="15" t="s">
        <v>295</v>
      </c>
      <c r="C90" s="1" t="s">
        <v>294</v>
      </c>
      <c r="D90" s="1" t="s">
        <v>1131</v>
      </c>
    </row>
    <row r="91" spans="1:4" s="1" customFormat="1" ht="30" customHeight="1" x14ac:dyDescent="0.25">
      <c r="A91" s="1" t="s">
        <v>2865</v>
      </c>
      <c r="B91" s="81" t="s">
        <v>349</v>
      </c>
      <c r="C91" s="1" t="s">
        <v>348</v>
      </c>
      <c r="D91" s="1" t="s">
        <v>2865</v>
      </c>
    </row>
    <row r="92" spans="1:4" s="1" customFormat="1" ht="30" customHeight="1" x14ac:dyDescent="0.25">
      <c r="A92" s="1" t="s">
        <v>2756</v>
      </c>
      <c r="B92" s="173" t="s">
        <v>238</v>
      </c>
      <c r="C92" s="1" t="s">
        <v>237</v>
      </c>
      <c r="D92" s="1" t="s">
        <v>2756</v>
      </c>
    </row>
    <row r="93" spans="1:4" s="1" customFormat="1" ht="30" customHeight="1" x14ac:dyDescent="0.25">
      <c r="A93" s="1" t="s">
        <v>1705</v>
      </c>
      <c r="B93" s="173" t="s">
        <v>292</v>
      </c>
      <c r="C93" s="1" t="s">
        <v>291</v>
      </c>
      <c r="D93" s="1" t="s">
        <v>1705</v>
      </c>
    </row>
    <row r="94" spans="1:4" s="1" customFormat="1" ht="30" customHeight="1" x14ac:dyDescent="0.25">
      <c r="A94" s="1" t="s">
        <v>954</v>
      </c>
      <c r="B94" s="15" t="s">
        <v>455</v>
      </c>
      <c r="C94" s="1" t="s">
        <v>454</v>
      </c>
      <c r="D94" s="1" t="s">
        <v>954</v>
      </c>
    </row>
    <row r="95" spans="1:4" s="1" customFormat="1" ht="30" customHeight="1" x14ac:dyDescent="0.25">
      <c r="A95" s="1" t="s">
        <v>3161</v>
      </c>
      <c r="B95" s="173" t="s">
        <v>105</v>
      </c>
      <c r="C95" s="1" t="s">
        <v>104</v>
      </c>
      <c r="D95" s="1" t="s">
        <v>3161</v>
      </c>
    </row>
    <row r="96" spans="1:4" s="1" customFormat="1" ht="30" customHeight="1" x14ac:dyDescent="0.25">
      <c r="A96" s="1" t="s">
        <v>1655</v>
      </c>
      <c r="B96" s="173" t="s">
        <v>256</v>
      </c>
      <c r="C96" s="1" t="s">
        <v>255</v>
      </c>
      <c r="D96" s="1" t="s">
        <v>1655</v>
      </c>
    </row>
    <row r="97" spans="1:4" s="1" customFormat="1" ht="30" customHeight="1" x14ac:dyDescent="0.25">
      <c r="A97" s="1" t="s">
        <v>996</v>
      </c>
      <c r="B97" s="29" t="s">
        <v>448</v>
      </c>
      <c r="C97" s="1" t="s">
        <v>446</v>
      </c>
      <c r="D97" s="1" t="s">
        <v>996</v>
      </c>
    </row>
    <row r="98" spans="1:4" s="1" customFormat="1" ht="30" customHeight="1" x14ac:dyDescent="0.25">
      <c r="A98" s="1" t="s">
        <v>711</v>
      </c>
      <c r="B98" s="173" t="s">
        <v>309</v>
      </c>
      <c r="C98" s="1" t="s">
        <v>306</v>
      </c>
      <c r="D98" s="1" t="s">
        <v>711</v>
      </c>
    </row>
    <row r="99" spans="1:4" s="1" customFormat="1" ht="30" customHeight="1" x14ac:dyDescent="0.25">
      <c r="A99" s="1" t="s">
        <v>3234</v>
      </c>
      <c r="B99" s="173" t="s">
        <v>538</v>
      </c>
      <c r="C99" s="1" t="s">
        <v>535</v>
      </c>
      <c r="D99" s="1" t="s">
        <v>3234</v>
      </c>
    </row>
    <row r="100" spans="1:4" s="1" customFormat="1" ht="30" customHeight="1" x14ac:dyDescent="0.25">
      <c r="A100" s="1" t="s">
        <v>2916</v>
      </c>
      <c r="B100" s="173" t="s">
        <v>18</v>
      </c>
      <c r="C100" s="1" t="s">
        <v>13</v>
      </c>
      <c r="D100" s="1" t="s">
        <v>2916</v>
      </c>
    </row>
    <row r="101" spans="1:4" s="1" customFormat="1" ht="30" customHeight="1" x14ac:dyDescent="0.25">
      <c r="A101" s="1" t="s">
        <v>1499</v>
      </c>
      <c r="B101" s="15" t="s">
        <v>512</v>
      </c>
      <c r="C101" s="1" t="s">
        <v>510</v>
      </c>
      <c r="D101" s="1" t="s">
        <v>1499</v>
      </c>
    </row>
    <row r="102" spans="1:4" s="1" customFormat="1" ht="30" customHeight="1" x14ac:dyDescent="0.25">
      <c r="A102" s="1" t="s">
        <v>2856</v>
      </c>
      <c r="B102" s="15" t="s">
        <v>152</v>
      </c>
      <c r="C102" s="1" t="s">
        <v>151</v>
      </c>
      <c r="D102" s="1" t="s">
        <v>2856</v>
      </c>
    </row>
    <row r="103" spans="1:4" s="1" customFormat="1" ht="30" customHeight="1" x14ac:dyDescent="0.25">
      <c r="A103" s="1" t="s">
        <v>2838</v>
      </c>
      <c r="B103" s="173" t="s">
        <v>433</v>
      </c>
      <c r="C103" s="1" t="s">
        <v>430</v>
      </c>
      <c r="D103" s="1" t="s">
        <v>2838</v>
      </c>
    </row>
    <row r="104" spans="1:4" s="1" customFormat="1" ht="30" customHeight="1" x14ac:dyDescent="0.25">
      <c r="A104" s="1" t="s">
        <v>2621</v>
      </c>
      <c r="B104" s="29" t="s">
        <v>457</v>
      </c>
      <c r="C104" s="1" t="s">
        <v>454</v>
      </c>
      <c r="D104" s="1" t="s">
        <v>2621</v>
      </c>
    </row>
    <row r="105" spans="1:4" s="1" customFormat="1" ht="30" customHeight="1" x14ac:dyDescent="0.25">
      <c r="A105" s="1" t="s">
        <v>656</v>
      </c>
      <c r="B105" s="173" t="s">
        <v>413</v>
      </c>
      <c r="C105" s="1" t="s">
        <v>412</v>
      </c>
      <c r="D105" s="1" t="s">
        <v>656</v>
      </c>
    </row>
    <row r="106" spans="1:4" s="1" customFormat="1" ht="30" customHeight="1" x14ac:dyDescent="0.25">
      <c r="A106" s="1" t="s">
        <v>705</v>
      </c>
      <c r="B106" s="81" t="s">
        <v>507</v>
      </c>
      <c r="C106" s="1" t="s">
        <v>505</v>
      </c>
      <c r="D106" s="1" t="s">
        <v>705</v>
      </c>
    </row>
    <row r="107" spans="1:4" s="1" customFormat="1" ht="30" customHeight="1" x14ac:dyDescent="0.25">
      <c r="A107" s="1" t="s">
        <v>2075</v>
      </c>
      <c r="B107" s="55" t="s">
        <v>97</v>
      </c>
      <c r="C107" s="1" t="s">
        <v>95</v>
      </c>
      <c r="D107" s="1" t="s">
        <v>2075</v>
      </c>
    </row>
    <row r="108" spans="1:4" s="1" customFormat="1" ht="30" customHeight="1" x14ac:dyDescent="0.25">
      <c r="A108" s="1" t="s">
        <v>1259</v>
      </c>
      <c r="B108" s="15" t="s">
        <v>533</v>
      </c>
      <c r="C108" s="1" t="s">
        <v>531</v>
      </c>
      <c r="D108" s="1" t="s">
        <v>1259</v>
      </c>
    </row>
    <row r="109" spans="1:4" s="1" customFormat="1" ht="30" customHeight="1" x14ac:dyDescent="0.25">
      <c r="A109" s="1" t="s">
        <v>2830</v>
      </c>
      <c r="B109" s="21" t="s">
        <v>132</v>
      </c>
      <c r="C109" s="1" t="s">
        <v>130</v>
      </c>
      <c r="D109" s="1" t="s">
        <v>2830</v>
      </c>
    </row>
    <row r="110" spans="1:4" s="1" customFormat="1" ht="30" customHeight="1" x14ac:dyDescent="0.25">
      <c r="A110" s="1" t="s">
        <v>2899</v>
      </c>
      <c r="B110" s="15" t="s">
        <v>541</v>
      </c>
      <c r="C110" s="1" t="s">
        <v>540</v>
      </c>
      <c r="D110" s="1" t="s">
        <v>2899</v>
      </c>
    </row>
    <row r="111" spans="1:4" s="1" customFormat="1" ht="30" customHeight="1" x14ac:dyDescent="0.25">
      <c r="A111" s="1" t="s">
        <v>1614</v>
      </c>
      <c r="B111" s="173" t="s">
        <v>496</v>
      </c>
      <c r="C111" s="1" t="s">
        <v>495</v>
      </c>
      <c r="D111" s="1" t="s">
        <v>1614</v>
      </c>
    </row>
    <row r="112" spans="1:4" s="1" customFormat="1" ht="30" customHeight="1" x14ac:dyDescent="0.25">
      <c r="A112" s="1" t="s">
        <v>1249</v>
      </c>
      <c r="B112" s="33" t="s">
        <v>31</v>
      </c>
      <c r="C112" s="1" t="s">
        <v>29</v>
      </c>
      <c r="D112" s="1" t="s">
        <v>1249</v>
      </c>
    </row>
    <row r="113" spans="1:4" s="1" customFormat="1" ht="30" customHeight="1" x14ac:dyDescent="0.25">
      <c r="A113" s="1" t="s">
        <v>2204</v>
      </c>
      <c r="B113" s="152" t="s">
        <v>352</v>
      </c>
      <c r="C113" s="1" t="s">
        <v>351</v>
      </c>
      <c r="D113" s="1" t="s">
        <v>2204</v>
      </c>
    </row>
    <row r="114" spans="1:4" s="1" customFormat="1" ht="30" customHeight="1" x14ac:dyDescent="0.25">
      <c r="A114" s="1" t="s">
        <v>2603</v>
      </c>
      <c r="B114" s="15" t="s">
        <v>337</v>
      </c>
      <c r="C114" s="1" t="s">
        <v>335</v>
      </c>
      <c r="D114" s="1" t="s">
        <v>2603</v>
      </c>
    </row>
    <row r="115" spans="1:4" s="1" customFormat="1" ht="30" customHeight="1" x14ac:dyDescent="0.25">
      <c r="A115" s="1" t="s">
        <v>3006</v>
      </c>
      <c r="B115" s="15" t="s">
        <v>407</v>
      </c>
      <c r="C115" s="1" t="s">
        <v>405</v>
      </c>
      <c r="D115" s="1" t="s">
        <v>3006</v>
      </c>
    </row>
    <row r="116" spans="1:4" s="1" customFormat="1" ht="30" customHeight="1" x14ac:dyDescent="0.25">
      <c r="A116" s="1" t="s">
        <v>1225</v>
      </c>
      <c r="B116" s="173" t="s">
        <v>156</v>
      </c>
      <c r="C116" s="1" t="s">
        <v>154</v>
      </c>
      <c r="D116" s="1" t="s">
        <v>1225</v>
      </c>
    </row>
    <row r="117" spans="1:4" s="1" customFormat="1" ht="30" customHeight="1" x14ac:dyDescent="0.25">
      <c r="A117" s="1" t="s">
        <v>3020</v>
      </c>
      <c r="B117" s="15" t="s">
        <v>529</v>
      </c>
      <c r="C117" s="1" t="s">
        <v>527</v>
      </c>
      <c r="D117" s="1" t="s">
        <v>3020</v>
      </c>
    </row>
    <row r="118" spans="1:4" s="1" customFormat="1" ht="30" customHeight="1" x14ac:dyDescent="0.25">
      <c r="A118" s="1" t="s">
        <v>2993</v>
      </c>
      <c r="B118" s="173" t="s">
        <v>470</v>
      </c>
      <c r="C118" s="1" t="s">
        <v>469</v>
      </c>
      <c r="D118" s="1" t="s">
        <v>2993</v>
      </c>
    </row>
    <row r="119" spans="1:4" s="1" customFormat="1" ht="30" customHeight="1" x14ac:dyDescent="0.25">
      <c r="A119" s="1" t="s">
        <v>1309</v>
      </c>
      <c r="B119" s="15" t="s">
        <v>511</v>
      </c>
      <c r="C119" s="1" t="s">
        <v>510</v>
      </c>
      <c r="D119" s="1" t="s">
        <v>1309</v>
      </c>
    </row>
    <row r="120" spans="1:4" s="1" customFormat="1" ht="30" customHeight="1" x14ac:dyDescent="0.25">
      <c r="A120" s="1" t="s">
        <v>2741</v>
      </c>
      <c r="B120" s="15" t="s">
        <v>296</v>
      </c>
      <c r="C120" s="1" t="s">
        <v>294</v>
      </c>
      <c r="D120" s="1" t="s">
        <v>2741</v>
      </c>
    </row>
    <row r="121" spans="1:4" s="1" customFormat="1" ht="30" customHeight="1" x14ac:dyDescent="0.25">
      <c r="A121" s="1" t="s">
        <v>1552</v>
      </c>
      <c r="B121" s="173" t="s">
        <v>290</v>
      </c>
      <c r="C121" s="1" t="s">
        <v>288</v>
      </c>
      <c r="D121" s="1" t="s">
        <v>1552</v>
      </c>
    </row>
    <row r="122" spans="1:4" s="1" customFormat="1" ht="30" customHeight="1" x14ac:dyDescent="0.25">
      <c r="A122" s="1" t="s">
        <v>2733</v>
      </c>
      <c r="B122" s="173" t="s">
        <v>125</v>
      </c>
      <c r="C122" s="1" t="s">
        <v>122</v>
      </c>
      <c r="D122" s="1" t="s">
        <v>2733</v>
      </c>
    </row>
    <row r="123" spans="1:4" s="1" customFormat="1" ht="30" customHeight="1" x14ac:dyDescent="0.25">
      <c r="A123" s="1" t="s">
        <v>3384</v>
      </c>
      <c r="B123" s="15" t="s">
        <v>261</v>
      </c>
      <c r="C123" s="1" t="s">
        <v>259</v>
      </c>
      <c r="D123" s="1" t="s">
        <v>3384</v>
      </c>
    </row>
    <row r="124" spans="1:4" s="1" customFormat="1" ht="30" customHeight="1" x14ac:dyDescent="0.25">
      <c r="A124" s="1" t="s">
        <v>1052</v>
      </c>
      <c r="B124" s="15" t="s">
        <v>242</v>
      </c>
      <c r="C124" s="1" t="s">
        <v>240</v>
      </c>
      <c r="D124" s="1" t="s">
        <v>1052</v>
      </c>
    </row>
    <row r="125" spans="1:4" s="1" customFormat="1" ht="30" customHeight="1" x14ac:dyDescent="0.25">
      <c r="A125" s="1" t="s">
        <v>1568</v>
      </c>
      <c r="B125" s="15" t="s">
        <v>289</v>
      </c>
      <c r="C125" s="1" t="s">
        <v>288</v>
      </c>
      <c r="D125" s="1" t="s">
        <v>1568</v>
      </c>
    </row>
    <row r="126" spans="1:4" s="1" customFormat="1" ht="30" customHeight="1" x14ac:dyDescent="0.25">
      <c r="A126" s="1" t="s">
        <v>1584</v>
      </c>
      <c r="B126" s="173" t="s">
        <v>155</v>
      </c>
      <c r="C126" s="1" t="s">
        <v>154</v>
      </c>
      <c r="D126" s="1" t="s">
        <v>1584</v>
      </c>
    </row>
    <row r="127" spans="1:4" s="1" customFormat="1" ht="30" customHeight="1" x14ac:dyDescent="0.25">
      <c r="A127" s="1" t="s">
        <v>872</v>
      </c>
      <c r="B127" s="15" t="s">
        <v>447</v>
      </c>
      <c r="C127" s="1" t="s">
        <v>446</v>
      </c>
      <c r="D127" s="1" t="s">
        <v>872</v>
      </c>
    </row>
    <row r="128" spans="1:4" s="1" customFormat="1" ht="30" customHeight="1" x14ac:dyDescent="0.25">
      <c r="A128" s="1" t="s">
        <v>1293</v>
      </c>
      <c r="B128" s="61" t="s">
        <v>558</v>
      </c>
      <c r="C128" s="1" t="s">
        <v>556</v>
      </c>
      <c r="D128" s="1" t="s">
        <v>1293</v>
      </c>
    </row>
    <row r="129" spans="1:4" s="1" customFormat="1" ht="30" customHeight="1" x14ac:dyDescent="0.25">
      <c r="A129" s="1" t="s">
        <v>3331</v>
      </c>
      <c r="B129" s="15" t="s">
        <v>423</v>
      </c>
      <c r="C129" s="1" t="s">
        <v>421</v>
      </c>
      <c r="D129" s="1" t="s">
        <v>3331</v>
      </c>
    </row>
    <row r="130" spans="1:4" s="1" customFormat="1" ht="30" customHeight="1" x14ac:dyDescent="0.25">
      <c r="A130" s="1" t="s">
        <v>1487</v>
      </c>
      <c r="B130" s="15" t="s">
        <v>480</v>
      </c>
      <c r="C130" s="1" t="s">
        <v>479</v>
      </c>
      <c r="D130" s="1" t="s">
        <v>1487</v>
      </c>
    </row>
    <row r="131" spans="1:4" s="1" customFormat="1" ht="30" customHeight="1" x14ac:dyDescent="0.25">
      <c r="A131" s="1" t="s">
        <v>1565</v>
      </c>
      <c r="B131" s="173" t="s">
        <v>442</v>
      </c>
      <c r="C131" s="1" t="s">
        <v>441</v>
      </c>
      <c r="D131" s="1" t="s">
        <v>1565</v>
      </c>
    </row>
    <row r="132" spans="1:4" s="1" customFormat="1" ht="30" customHeight="1" x14ac:dyDescent="0.25">
      <c r="A132" s="1" t="s">
        <v>2385</v>
      </c>
      <c r="B132" s="126" t="s">
        <v>498</v>
      </c>
      <c r="C132" s="1" t="s">
        <v>495</v>
      </c>
      <c r="D132" s="1" t="s">
        <v>2385</v>
      </c>
    </row>
    <row r="133" spans="1:4" s="1" customFormat="1" ht="30" customHeight="1" x14ac:dyDescent="0.25">
      <c r="A133" s="1" t="s">
        <v>3145</v>
      </c>
      <c r="B133" s="15" t="s">
        <v>298</v>
      </c>
      <c r="C133" s="1" t="s">
        <v>297</v>
      </c>
      <c r="D133" s="1" t="s">
        <v>3145</v>
      </c>
    </row>
    <row r="134" spans="1:4" s="1" customFormat="1" ht="30" customHeight="1" x14ac:dyDescent="0.25">
      <c r="A134" s="1" t="s">
        <v>2256</v>
      </c>
      <c r="B134" s="15" t="s">
        <v>57</v>
      </c>
      <c r="C134" s="1" t="s">
        <v>56</v>
      </c>
      <c r="D134" s="1" t="s">
        <v>2256</v>
      </c>
    </row>
    <row r="135" spans="1:4" s="1" customFormat="1" ht="30" customHeight="1" x14ac:dyDescent="0.25">
      <c r="A135" s="1" t="s">
        <v>1637</v>
      </c>
      <c r="B135" s="15" t="s">
        <v>543</v>
      </c>
      <c r="C135" s="1" t="s">
        <v>540</v>
      </c>
      <c r="D135" s="1" t="s">
        <v>1637</v>
      </c>
    </row>
    <row r="136" spans="1:4" s="1" customFormat="1" ht="30" customHeight="1" x14ac:dyDescent="0.25">
      <c r="A136" s="1" t="s">
        <v>1071</v>
      </c>
      <c r="B136" s="168" t="s">
        <v>54</v>
      </c>
      <c r="C136" s="1" t="s">
        <v>53</v>
      </c>
      <c r="D136" s="1" t="s">
        <v>1071</v>
      </c>
    </row>
    <row r="137" spans="1:4" s="1" customFormat="1" ht="30" customHeight="1" x14ac:dyDescent="0.25">
      <c r="A137" s="1" t="s">
        <v>1272</v>
      </c>
      <c r="B137" s="168" t="s">
        <v>55</v>
      </c>
      <c r="C137" s="1" t="s">
        <v>53</v>
      </c>
      <c r="D137" s="1" t="s">
        <v>1272</v>
      </c>
    </row>
    <row r="138" spans="1:4" s="1" customFormat="1" ht="30" customHeight="1" x14ac:dyDescent="0.25">
      <c r="A138" s="1" t="s">
        <v>1629</v>
      </c>
      <c r="B138" s="15" t="s">
        <v>218</v>
      </c>
      <c r="C138" s="1" t="s">
        <v>216</v>
      </c>
      <c r="D138" s="1" t="s">
        <v>1629</v>
      </c>
    </row>
    <row r="139" spans="1:4" s="1" customFormat="1" ht="30" customHeight="1" x14ac:dyDescent="0.25">
      <c r="A139" s="1" t="s">
        <v>715</v>
      </c>
      <c r="B139" s="67" t="s">
        <v>135</v>
      </c>
      <c r="C139" s="1" t="s">
        <v>133</v>
      </c>
      <c r="D139" s="1" t="s">
        <v>715</v>
      </c>
    </row>
    <row r="140" spans="1:4" s="1" customFormat="1" ht="30" customHeight="1" x14ac:dyDescent="0.25">
      <c r="A140" s="1" t="s">
        <v>1375</v>
      </c>
      <c r="B140" s="15" t="s">
        <v>217</v>
      </c>
      <c r="C140" s="1" t="s">
        <v>216</v>
      </c>
      <c r="D140" s="1" t="s">
        <v>1375</v>
      </c>
    </row>
    <row r="141" spans="1:4" s="1" customFormat="1" ht="30" customHeight="1" x14ac:dyDescent="0.25">
      <c r="A141" s="1" t="s">
        <v>3009</v>
      </c>
      <c r="B141" s="24" t="s">
        <v>472</v>
      </c>
      <c r="C141" s="1" t="s">
        <v>469</v>
      </c>
      <c r="D141" s="1" t="s">
        <v>3009</v>
      </c>
    </row>
    <row r="142" spans="1:4" s="1" customFormat="1" ht="30" customHeight="1" x14ac:dyDescent="0.25">
      <c r="A142" s="1" t="s">
        <v>884</v>
      </c>
      <c r="B142" s="15" t="s">
        <v>422</v>
      </c>
      <c r="C142" s="1" t="s">
        <v>421</v>
      </c>
      <c r="D142" s="1" t="s">
        <v>884</v>
      </c>
    </row>
    <row r="143" spans="1:4" s="1" customFormat="1" ht="30" customHeight="1" x14ac:dyDescent="0.25">
      <c r="A143" s="1" t="s">
        <v>1619</v>
      </c>
      <c r="B143" s="15" t="s">
        <v>198</v>
      </c>
      <c r="C143" s="1" t="s">
        <v>197</v>
      </c>
      <c r="D143" s="1" t="s">
        <v>1619</v>
      </c>
    </row>
    <row r="144" spans="1:4" s="1" customFormat="1" ht="30" customHeight="1" x14ac:dyDescent="0.25">
      <c r="A144" s="1" t="s">
        <v>2843</v>
      </c>
      <c r="B144" s="15" t="s">
        <v>153</v>
      </c>
      <c r="C144" s="1" t="s">
        <v>151</v>
      </c>
      <c r="D144" s="1" t="s">
        <v>2843</v>
      </c>
    </row>
    <row r="145" spans="1:4" s="1" customFormat="1" ht="30" customHeight="1" x14ac:dyDescent="0.25">
      <c r="A145" s="1" t="s">
        <v>1091</v>
      </c>
      <c r="B145" s="15" t="s">
        <v>431</v>
      </c>
      <c r="C145" s="1" t="s">
        <v>430</v>
      </c>
      <c r="D145" s="1" t="s">
        <v>1091</v>
      </c>
    </row>
    <row r="146" spans="1:4" s="1" customFormat="1" ht="30" customHeight="1" x14ac:dyDescent="0.25">
      <c r="A146" s="1" t="s">
        <v>3187</v>
      </c>
      <c r="B146" s="43" t="s">
        <v>436</v>
      </c>
      <c r="C146" s="1" t="s">
        <v>435</v>
      </c>
      <c r="D146" s="1" t="s">
        <v>3187</v>
      </c>
    </row>
    <row r="147" spans="1:4" s="1" customFormat="1" ht="30" customHeight="1" x14ac:dyDescent="0.25">
      <c r="A147" s="1" t="s">
        <v>2921</v>
      </c>
      <c r="B147" s="31" t="s">
        <v>497</v>
      </c>
      <c r="C147" s="1" t="s">
        <v>495</v>
      </c>
      <c r="D147" s="1" t="s">
        <v>2921</v>
      </c>
    </row>
    <row r="148" spans="1:4" s="1" customFormat="1" ht="30" customHeight="1" x14ac:dyDescent="0.25">
      <c r="A148" s="1" t="s">
        <v>1399</v>
      </c>
      <c r="B148" s="15" t="s">
        <v>456</v>
      </c>
      <c r="C148" s="1" t="s">
        <v>454</v>
      </c>
      <c r="D148" s="1" t="s">
        <v>1399</v>
      </c>
    </row>
    <row r="149" spans="1:4" s="1" customFormat="1" ht="30" customHeight="1" x14ac:dyDescent="0.25">
      <c r="A149" s="1" t="s">
        <v>2660</v>
      </c>
      <c r="B149" s="15" t="s">
        <v>419</v>
      </c>
      <c r="C149" s="1" t="s">
        <v>417</v>
      </c>
      <c r="D149" s="1" t="s">
        <v>2660</v>
      </c>
    </row>
    <row r="150" spans="1:4" s="1" customFormat="1" ht="30" customHeight="1" x14ac:dyDescent="0.25">
      <c r="A150" s="1" t="s">
        <v>757</v>
      </c>
      <c r="B150" s="15" t="s">
        <v>113</v>
      </c>
      <c r="C150" s="1" t="s">
        <v>112</v>
      </c>
      <c r="D150" s="1" t="s">
        <v>757</v>
      </c>
    </row>
    <row r="151" spans="1:4" s="1" customFormat="1" ht="30" customHeight="1" x14ac:dyDescent="0.25">
      <c r="A151" s="1" t="s">
        <v>1026</v>
      </c>
      <c r="B151" s="15" t="s">
        <v>301</v>
      </c>
      <c r="C151" s="1" t="s">
        <v>300</v>
      </c>
      <c r="D151" s="1" t="s">
        <v>1026</v>
      </c>
    </row>
    <row r="152" spans="1:4" s="1" customFormat="1" ht="30" customHeight="1" x14ac:dyDescent="0.25">
      <c r="A152" s="1" t="s">
        <v>2870</v>
      </c>
      <c r="B152" s="15" t="s">
        <v>342</v>
      </c>
      <c r="C152" s="1" t="s">
        <v>341</v>
      </c>
      <c r="D152" s="1" t="s">
        <v>2870</v>
      </c>
    </row>
    <row r="153" spans="1:4" s="1" customFormat="1" ht="30" customHeight="1" x14ac:dyDescent="0.25">
      <c r="A153" s="1" t="s">
        <v>1861</v>
      </c>
      <c r="B153" s="15" t="s">
        <v>52</v>
      </c>
      <c r="C153" s="1" t="s">
        <v>50</v>
      </c>
      <c r="D153" s="1" t="s">
        <v>1861</v>
      </c>
    </row>
    <row r="154" spans="1:4" s="1" customFormat="1" ht="30" customHeight="1" x14ac:dyDescent="0.25">
      <c r="A154" s="1" t="s">
        <v>909</v>
      </c>
      <c r="B154" s="30" t="s">
        <v>30</v>
      </c>
      <c r="C154" s="1" t="s">
        <v>29</v>
      </c>
      <c r="D154" s="1" t="s">
        <v>909</v>
      </c>
    </row>
    <row r="155" spans="1:4" s="1" customFormat="1" ht="30" customHeight="1" x14ac:dyDescent="0.25">
      <c r="A155" s="1" t="s">
        <v>3084</v>
      </c>
      <c r="B155" s="63" t="s">
        <v>149</v>
      </c>
      <c r="C155" s="1" t="s">
        <v>146</v>
      </c>
      <c r="D155" s="1" t="s">
        <v>3084</v>
      </c>
    </row>
    <row r="156" spans="1:4" s="1" customFormat="1" ht="30" customHeight="1" x14ac:dyDescent="0.25">
      <c r="A156" s="1" t="s">
        <v>1512</v>
      </c>
      <c r="B156" s="29" t="s">
        <v>206</v>
      </c>
      <c r="C156" s="1" t="s">
        <v>205</v>
      </c>
      <c r="D156" s="1" t="s">
        <v>1512</v>
      </c>
    </row>
    <row r="157" spans="1:4" s="1" customFormat="1" ht="30" customHeight="1" x14ac:dyDescent="0.25">
      <c r="A157" s="1" t="s">
        <v>1690</v>
      </c>
      <c r="B157" s="29" t="s">
        <v>438</v>
      </c>
      <c r="C157" s="1" t="s">
        <v>435</v>
      </c>
      <c r="D157" s="1" t="s">
        <v>1690</v>
      </c>
    </row>
    <row r="158" spans="1:4" s="1" customFormat="1" ht="30" customHeight="1" x14ac:dyDescent="0.25">
      <c r="A158" s="1" t="s">
        <v>1758</v>
      </c>
      <c r="B158" s="168" t="s">
        <v>33</v>
      </c>
      <c r="C158" s="1" t="s">
        <v>32</v>
      </c>
      <c r="D158" s="1" t="s">
        <v>1758</v>
      </c>
    </row>
    <row r="159" spans="1:4" s="1" customFormat="1" ht="30" customHeight="1" x14ac:dyDescent="0.25">
      <c r="A159" s="1" t="s">
        <v>3172</v>
      </c>
      <c r="B159" s="29" t="s">
        <v>387</v>
      </c>
      <c r="C159" s="1" t="s">
        <v>384</v>
      </c>
      <c r="D159" s="1" t="s">
        <v>3172</v>
      </c>
    </row>
    <row r="160" spans="1:4" s="1" customFormat="1" ht="30" customHeight="1" x14ac:dyDescent="0.25">
      <c r="A160" s="1" t="s">
        <v>1032</v>
      </c>
      <c r="B160" s="173" t="s">
        <v>177</v>
      </c>
      <c r="C160" s="1" t="s">
        <v>175</v>
      </c>
      <c r="D160" s="1" t="s">
        <v>1032</v>
      </c>
    </row>
    <row r="161" spans="1:4" s="1" customFormat="1" ht="30" customHeight="1" x14ac:dyDescent="0.25">
      <c r="A161" s="1" t="s">
        <v>1243</v>
      </c>
      <c r="B161" s="163" t="s">
        <v>449</v>
      </c>
      <c r="C161" s="1" t="s">
        <v>446</v>
      </c>
      <c r="D161" s="1" t="s">
        <v>1243</v>
      </c>
    </row>
    <row r="162" spans="1:4" s="1" customFormat="1" ht="30" customHeight="1" x14ac:dyDescent="0.25">
      <c r="A162" s="1" t="s">
        <v>1055</v>
      </c>
      <c r="B162" s="29" t="s">
        <v>176</v>
      </c>
      <c r="C162" s="1" t="s">
        <v>175</v>
      </c>
      <c r="D162" s="1" t="s">
        <v>1055</v>
      </c>
    </row>
    <row r="163" spans="1:4" s="1" customFormat="1" ht="30" customHeight="1" x14ac:dyDescent="0.25">
      <c r="A163" s="1" t="s">
        <v>887</v>
      </c>
      <c r="B163" s="68" t="s">
        <v>266</v>
      </c>
      <c r="C163" s="1" t="s">
        <v>265</v>
      </c>
      <c r="D163" s="1" t="s">
        <v>887</v>
      </c>
    </row>
    <row r="164" spans="1:4" s="1" customFormat="1" ht="30" customHeight="1" x14ac:dyDescent="0.25">
      <c r="A164" s="1" t="s">
        <v>1351</v>
      </c>
      <c r="B164" s="15" t="s">
        <v>471</v>
      </c>
      <c r="C164" s="1" t="s">
        <v>469</v>
      </c>
      <c r="D164" s="1" t="s">
        <v>1351</v>
      </c>
    </row>
    <row r="165" spans="1:4" s="1" customFormat="1" ht="30" customHeight="1" x14ac:dyDescent="0.25">
      <c r="A165" s="1" t="s">
        <v>1815</v>
      </c>
      <c r="B165" s="15" t="s">
        <v>424</v>
      </c>
      <c r="C165" s="1" t="s">
        <v>421</v>
      </c>
      <c r="D165" s="1" t="s">
        <v>1815</v>
      </c>
    </row>
    <row r="166" spans="1:4" s="1" customFormat="1" ht="30" customHeight="1" x14ac:dyDescent="0.25">
      <c r="A166" s="1" t="s">
        <v>1319</v>
      </c>
      <c r="B166" s="122" t="s">
        <v>555</v>
      </c>
      <c r="C166" s="1" t="s">
        <v>551</v>
      </c>
      <c r="D166" s="1" t="s">
        <v>1319</v>
      </c>
    </row>
    <row r="167" spans="1:4" s="1" customFormat="1" ht="30" customHeight="1" x14ac:dyDescent="0.25">
      <c r="A167" s="1" t="s">
        <v>3216</v>
      </c>
      <c r="B167" s="15" t="s">
        <v>58</v>
      </c>
      <c r="C167" s="1" t="s">
        <v>56</v>
      </c>
      <c r="D167" s="1" t="s">
        <v>3216</v>
      </c>
    </row>
    <row r="168" spans="1:4" s="1" customFormat="1" ht="30" customHeight="1" x14ac:dyDescent="0.25">
      <c r="A168" s="1" t="s">
        <v>3254</v>
      </c>
      <c r="B168" s="29" t="s">
        <v>439</v>
      </c>
      <c r="C168" s="1" t="s">
        <v>435</v>
      </c>
      <c r="D168" s="1" t="s">
        <v>3254</v>
      </c>
    </row>
    <row r="169" spans="1:4" s="1" customFormat="1" ht="30" customHeight="1" x14ac:dyDescent="0.25">
      <c r="A169" s="1" t="s">
        <v>2877</v>
      </c>
      <c r="B169" s="29" t="s">
        <v>566</v>
      </c>
      <c r="C169" s="1" t="s">
        <v>565</v>
      </c>
      <c r="D169" s="1" t="s">
        <v>2877</v>
      </c>
    </row>
    <row r="170" spans="1:4" s="1" customFormat="1" ht="30" customHeight="1" x14ac:dyDescent="0.25">
      <c r="A170" s="1" t="s">
        <v>2608</v>
      </c>
      <c r="B170" s="122" t="s">
        <v>552</v>
      </c>
      <c r="C170" s="1" t="s">
        <v>551</v>
      </c>
      <c r="D170" s="1" t="s">
        <v>2608</v>
      </c>
    </row>
    <row r="171" spans="1:4" s="1" customFormat="1" ht="30" customHeight="1" x14ac:dyDescent="0.25">
      <c r="A171" s="1" t="s">
        <v>2859</v>
      </c>
      <c r="B171" s="15" t="s">
        <v>481</v>
      </c>
      <c r="C171" s="1" t="s">
        <v>479</v>
      </c>
      <c r="D171" s="1" t="s">
        <v>2859</v>
      </c>
    </row>
    <row r="172" spans="1:4" s="1" customFormat="1" ht="30" customHeight="1" x14ac:dyDescent="0.25">
      <c r="A172" s="1" t="s">
        <v>1778</v>
      </c>
      <c r="B172" s="61" t="s">
        <v>172</v>
      </c>
      <c r="C172" s="1" t="s">
        <v>170</v>
      </c>
      <c r="D172" s="1" t="s">
        <v>1778</v>
      </c>
    </row>
    <row r="173" spans="1:4" s="1" customFormat="1" ht="30" customHeight="1" x14ac:dyDescent="0.25">
      <c r="A173" s="1" t="s">
        <v>2610</v>
      </c>
      <c r="B173" s="173" t="s">
        <v>346</v>
      </c>
      <c r="C173" s="1" t="s">
        <v>344</v>
      </c>
      <c r="D173" s="1" t="s">
        <v>2610</v>
      </c>
    </row>
    <row r="174" spans="1:4" s="1" customFormat="1" ht="30" customHeight="1" x14ac:dyDescent="0.25">
      <c r="A174" s="1" t="s">
        <v>2771</v>
      </c>
      <c r="B174" s="29" t="s">
        <v>579</v>
      </c>
      <c r="C174" s="1" t="s">
        <v>576</v>
      </c>
      <c r="D174" s="1" t="s">
        <v>2771</v>
      </c>
    </row>
    <row r="175" spans="1:4" s="1" customFormat="1" ht="30" customHeight="1" x14ac:dyDescent="0.25">
      <c r="A175" s="1" t="s">
        <v>1882</v>
      </c>
      <c r="B175" s="15" t="s">
        <v>553</v>
      </c>
      <c r="C175" s="1" t="s">
        <v>551</v>
      </c>
      <c r="D175" s="1" t="s">
        <v>1882</v>
      </c>
    </row>
    <row r="176" spans="1:4" s="1" customFormat="1" ht="30" customHeight="1" x14ac:dyDescent="0.25">
      <c r="A176" s="1" t="s">
        <v>957</v>
      </c>
      <c r="B176" s="31" t="s">
        <v>582</v>
      </c>
      <c r="C176" s="1" t="s">
        <v>580</v>
      </c>
      <c r="D176" s="1" t="s">
        <v>957</v>
      </c>
    </row>
    <row r="177" spans="1:4" s="1" customFormat="1" ht="30" customHeight="1" x14ac:dyDescent="0.25">
      <c r="A177" s="1" t="s">
        <v>2919</v>
      </c>
      <c r="B177" s="16" t="s">
        <v>583</v>
      </c>
      <c r="C177" s="1" t="s">
        <v>580</v>
      </c>
      <c r="D177" s="1" t="s">
        <v>2919</v>
      </c>
    </row>
    <row r="178" spans="1:4" s="1" customFormat="1" ht="30" customHeight="1" x14ac:dyDescent="0.25">
      <c r="A178" s="1" t="s">
        <v>1735</v>
      </c>
      <c r="B178" s="29" t="s">
        <v>399</v>
      </c>
      <c r="C178" s="1" t="s">
        <v>398</v>
      </c>
      <c r="D178" s="1" t="s">
        <v>1735</v>
      </c>
    </row>
    <row r="179" spans="1:4" s="1" customFormat="1" ht="30" customHeight="1" x14ac:dyDescent="0.25">
      <c r="A179" s="1" t="s">
        <v>1730</v>
      </c>
      <c r="B179" s="29" t="s">
        <v>402</v>
      </c>
      <c r="C179" s="1" t="s">
        <v>398</v>
      </c>
      <c r="D179" s="1" t="s">
        <v>1730</v>
      </c>
    </row>
    <row r="180" spans="1:4" s="1" customFormat="1" ht="30" customHeight="1" x14ac:dyDescent="0.25">
      <c r="A180" s="1" t="s">
        <v>3306</v>
      </c>
      <c r="B180" s="173" t="s">
        <v>518</v>
      </c>
      <c r="C180" s="1" t="s">
        <v>515</v>
      </c>
      <c r="D180" s="1" t="s">
        <v>3306</v>
      </c>
    </row>
    <row r="181" spans="1:4" s="1" customFormat="1" ht="30" customHeight="1" x14ac:dyDescent="0.25">
      <c r="A181" s="1" t="s">
        <v>1755</v>
      </c>
      <c r="B181" s="63" t="s">
        <v>212</v>
      </c>
      <c r="C181" s="1" t="s">
        <v>209</v>
      </c>
      <c r="D181" s="1" t="s">
        <v>1755</v>
      </c>
    </row>
    <row r="182" spans="1:4" s="1" customFormat="1" ht="30" customHeight="1" x14ac:dyDescent="0.25">
      <c r="A182" s="1" t="s">
        <v>802</v>
      </c>
      <c r="B182" s="15" t="s">
        <v>210</v>
      </c>
      <c r="C182" s="1" t="s">
        <v>209</v>
      </c>
      <c r="D182" s="1" t="s">
        <v>802</v>
      </c>
    </row>
    <row r="183" spans="1:4" s="1" customFormat="1" ht="30" customHeight="1" x14ac:dyDescent="0.25">
      <c r="A183" s="1" t="s">
        <v>2481</v>
      </c>
      <c r="B183" s="15" t="s">
        <v>557</v>
      </c>
      <c r="C183" s="1" t="s">
        <v>556</v>
      </c>
      <c r="D183" s="1" t="s">
        <v>2481</v>
      </c>
    </row>
    <row r="184" spans="1:4" s="1" customFormat="1" ht="30" customHeight="1" x14ac:dyDescent="0.25">
      <c r="A184" s="1" t="s">
        <v>2174</v>
      </c>
      <c r="B184" s="173" t="s">
        <v>506</v>
      </c>
      <c r="C184" s="1" t="s">
        <v>505</v>
      </c>
      <c r="D184" s="1" t="s">
        <v>2174</v>
      </c>
    </row>
    <row r="185" spans="1:4" s="1" customFormat="1" ht="30" customHeight="1" x14ac:dyDescent="0.25">
      <c r="A185" s="1" t="s">
        <v>2709</v>
      </c>
      <c r="B185" s="61" t="s">
        <v>189</v>
      </c>
      <c r="C185" s="1" t="s">
        <v>188</v>
      </c>
      <c r="D185" s="1" t="s">
        <v>2709</v>
      </c>
    </row>
    <row r="186" spans="1:4" s="1" customFormat="1" ht="30" customHeight="1" x14ac:dyDescent="0.25">
      <c r="A186" s="1" t="s">
        <v>3152</v>
      </c>
      <c r="B186" s="21" t="s">
        <v>26</v>
      </c>
      <c r="C186" s="1" t="s">
        <v>24</v>
      </c>
      <c r="D186" s="1" t="s">
        <v>3152</v>
      </c>
    </row>
    <row r="187" spans="1:4" s="1" customFormat="1" ht="30" customHeight="1" x14ac:dyDescent="0.25">
      <c r="A187" s="1" t="s">
        <v>3257</v>
      </c>
      <c r="B187" s="15" t="s">
        <v>379</v>
      </c>
      <c r="C187" s="1" t="s">
        <v>378</v>
      </c>
      <c r="D187" s="1" t="s">
        <v>3257</v>
      </c>
    </row>
    <row r="188" spans="1:4" s="1" customFormat="1" ht="30" customHeight="1" x14ac:dyDescent="0.25">
      <c r="A188" s="1" t="s">
        <v>3103</v>
      </c>
      <c r="B188" s="63" t="s">
        <v>199</v>
      </c>
      <c r="C188" s="1" t="s">
        <v>197</v>
      </c>
      <c r="D188" s="1" t="s">
        <v>3103</v>
      </c>
    </row>
    <row r="189" spans="1:4" s="1" customFormat="1" ht="30" customHeight="1" x14ac:dyDescent="0.25">
      <c r="A189" s="1" t="s">
        <v>2473</v>
      </c>
      <c r="B189" s="173" t="s">
        <v>305</v>
      </c>
      <c r="C189" s="1" t="s">
        <v>303</v>
      </c>
      <c r="D189" s="1" t="s">
        <v>2473</v>
      </c>
    </row>
    <row r="190" spans="1:4" s="1" customFormat="1" ht="30" customHeight="1" x14ac:dyDescent="0.25">
      <c r="A190" s="1" t="s">
        <v>649</v>
      </c>
      <c r="B190" s="15" t="s">
        <v>312</v>
      </c>
      <c r="C190" s="1" t="s">
        <v>310</v>
      </c>
      <c r="D190" s="1" t="s">
        <v>649</v>
      </c>
    </row>
    <row r="191" spans="1:4" s="1" customFormat="1" ht="30" customHeight="1" x14ac:dyDescent="0.25">
      <c r="A191" s="1" t="s">
        <v>3066</v>
      </c>
      <c r="B191" s="90" t="s">
        <v>311</v>
      </c>
      <c r="C191" s="1" t="s">
        <v>310</v>
      </c>
      <c r="D191" s="1" t="s">
        <v>3066</v>
      </c>
    </row>
    <row r="192" spans="1:4" s="1" customFormat="1" ht="30" customHeight="1" x14ac:dyDescent="0.25">
      <c r="A192" s="1" t="s">
        <v>875</v>
      </c>
      <c r="B192" s="173" t="s">
        <v>381</v>
      </c>
      <c r="C192" s="1" t="s">
        <v>378</v>
      </c>
      <c r="D192" s="1" t="s">
        <v>875</v>
      </c>
    </row>
    <row r="193" spans="1:4" s="1" customFormat="1" ht="30" customHeight="1" x14ac:dyDescent="0.25">
      <c r="A193" s="1" t="s">
        <v>2284</v>
      </c>
      <c r="B193" s="176" t="s">
        <v>473</v>
      </c>
      <c r="C193" s="1" t="s">
        <v>469</v>
      </c>
      <c r="D193" s="1" t="s">
        <v>2284</v>
      </c>
    </row>
    <row r="194" spans="1:4" s="1" customFormat="1" ht="30" customHeight="1" x14ac:dyDescent="0.25">
      <c r="A194" s="1" t="s">
        <v>2299</v>
      </c>
      <c r="B194" s="61" t="s">
        <v>304</v>
      </c>
      <c r="C194" s="1" t="s">
        <v>303</v>
      </c>
      <c r="D194" s="1" t="s">
        <v>2299</v>
      </c>
    </row>
    <row r="195" spans="1:4" s="1" customFormat="1" ht="30" customHeight="1" x14ac:dyDescent="0.25">
      <c r="A195" s="1" t="s">
        <v>1536</v>
      </c>
      <c r="B195" s="15" t="s">
        <v>345</v>
      </c>
      <c r="C195" s="1" t="s">
        <v>344</v>
      </c>
      <c r="D195" s="1" t="s">
        <v>1536</v>
      </c>
    </row>
    <row r="196" spans="1:4" s="1" customFormat="1" ht="30" customHeight="1" x14ac:dyDescent="0.25">
      <c r="A196" s="1" t="s">
        <v>2282</v>
      </c>
      <c r="B196" s="61" t="s">
        <v>573</v>
      </c>
      <c r="C196" s="1" t="s">
        <v>571</v>
      </c>
      <c r="D196" s="1" t="s">
        <v>2282</v>
      </c>
    </row>
    <row r="197" spans="1:4" s="1" customFormat="1" ht="30" customHeight="1" x14ac:dyDescent="0.25">
      <c r="A197" s="1" t="s">
        <v>1776</v>
      </c>
      <c r="B197" s="173" t="s">
        <v>478</v>
      </c>
      <c r="C197" s="1" t="s">
        <v>474</v>
      </c>
      <c r="D197" s="1" t="s">
        <v>1776</v>
      </c>
    </row>
    <row r="198" spans="1:4" s="1" customFormat="1" ht="30" customHeight="1" x14ac:dyDescent="0.25">
      <c r="A198" s="1" t="s">
        <v>972</v>
      </c>
      <c r="B198" s="168" t="s">
        <v>271</v>
      </c>
      <c r="C198" s="1" t="s">
        <v>269</v>
      </c>
      <c r="D198" s="1" t="s">
        <v>972</v>
      </c>
    </row>
    <row r="199" spans="1:4" s="1" customFormat="1" ht="30" customHeight="1" x14ac:dyDescent="0.25">
      <c r="A199" s="1" t="s">
        <v>3276</v>
      </c>
      <c r="B199" s="29" t="s">
        <v>434</v>
      </c>
      <c r="C199" s="1" t="s">
        <v>430</v>
      </c>
      <c r="D199" s="1" t="s">
        <v>3276</v>
      </c>
    </row>
    <row r="200" spans="1:4" s="1" customFormat="1" ht="30" customHeight="1" x14ac:dyDescent="0.25">
      <c r="A200" s="1" t="s">
        <v>2759</v>
      </c>
      <c r="B200" s="168" t="s">
        <v>190</v>
      </c>
      <c r="C200" s="1" t="s">
        <v>188</v>
      </c>
      <c r="D200" s="1" t="s">
        <v>2759</v>
      </c>
    </row>
    <row r="201" spans="1:4" s="1" customFormat="1" ht="30" customHeight="1" x14ac:dyDescent="0.25">
      <c r="A201" s="1" t="s">
        <v>1554</v>
      </c>
      <c r="B201" s="61" t="s">
        <v>577</v>
      </c>
      <c r="C201" s="1" t="s">
        <v>576</v>
      </c>
      <c r="D201" s="1" t="s">
        <v>1554</v>
      </c>
    </row>
    <row r="202" spans="1:4" s="1" customFormat="1" ht="30" customHeight="1" x14ac:dyDescent="0.25">
      <c r="A202" s="1" t="s">
        <v>2548</v>
      </c>
      <c r="B202" s="29" t="s">
        <v>108</v>
      </c>
      <c r="C202" s="1" t="s">
        <v>107</v>
      </c>
      <c r="D202" s="1" t="s">
        <v>2548</v>
      </c>
    </row>
    <row r="203" spans="1:4" s="1" customFormat="1" ht="30" customHeight="1" x14ac:dyDescent="0.25">
      <c r="A203" s="1" t="s">
        <v>1234</v>
      </c>
      <c r="B203" s="105" t="s">
        <v>389</v>
      </c>
      <c r="C203" s="1" t="s">
        <v>384</v>
      </c>
      <c r="D203" s="1" t="s">
        <v>1234</v>
      </c>
    </row>
    <row r="204" spans="1:4" s="1" customFormat="1" ht="30" customHeight="1" x14ac:dyDescent="0.25">
      <c r="A204" s="1" t="s">
        <v>1480</v>
      </c>
      <c r="B204" s="163" t="s">
        <v>162</v>
      </c>
      <c r="C204" s="1" t="s">
        <v>159</v>
      </c>
      <c r="D204" s="1" t="s">
        <v>1480</v>
      </c>
    </row>
    <row r="205" spans="1:4" s="1" customFormat="1" ht="30" customHeight="1" x14ac:dyDescent="0.25">
      <c r="A205" s="1" t="s">
        <v>1291</v>
      </c>
      <c r="B205" s="29" t="s">
        <v>467</v>
      </c>
      <c r="C205" s="1" t="s">
        <v>464</v>
      </c>
      <c r="D205" s="1" t="s">
        <v>1291</v>
      </c>
    </row>
    <row r="206" spans="1:4" s="1" customFormat="1" ht="30" customHeight="1" x14ac:dyDescent="0.25">
      <c r="A206" s="1" t="s">
        <v>2471</v>
      </c>
      <c r="B206" s="163" t="s">
        <v>80</v>
      </c>
      <c r="C206" s="1" t="s">
        <v>79</v>
      </c>
      <c r="D206" s="1" t="s">
        <v>2471</v>
      </c>
    </row>
    <row r="207" spans="1:4" s="3" customFormat="1" ht="30" customHeight="1" x14ac:dyDescent="0.25">
      <c r="A207" s="1" t="s">
        <v>1859</v>
      </c>
      <c r="B207" s="163" t="s">
        <v>81</v>
      </c>
      <c r="C207" s="1" t="s">
        <v>79</v>
      </c>
      <c r="D207" s="1" t="s">
        <v>1859</v>
      </c>
    </row>
    <row r="208" spans="1:4" s="1" customFormat="1" ht="30" customHeight="1" x14ac:dyDescent="0.25">
      <c r="A208" s="1" t="s">
        <v>2588</v>
      </c>
      <c r="B208" s="15" t="s">
        <v>140</v>
      </c>
      <c r="C208" s="1" t="s">
        <v>139</v>
      </c>
      <c r="D208" s="1" t="s">
        <v>2588</v>
      </c>
    </row>
    <row r="209" spans="1:4" s="1" customFormat="1" ht="30" customHeight="1" x14ac:dyDescent="0.25">
      <c r="A209" s="1" t="s">
        <v>2262</v>
      </c>
      <c r="B209" s="29" t="s">
        <v>477</v>
      </c>
      <c r="C209" s="1" t="s">
        <v>474</v>
      </c>
      <c r="D209" s="1" t="s">
        <v>2262</v>
      </c>
    </row>
    <row r="210" spans="1:4" s="1" customFormat="1" ht="30" customHeight="1" x14ac:dyDescent="0.25">
      <c r="A210" s="1" t="s">
        <v>934</v>
      </c>
      <c r="B210" s="29" t="s">
        <v>476</v>
      </c>
      <c r="C210" s="1" t="s">
        <v>474</v>
      </c>
      <c r="D210" s="1" t="s">
        <v>934</v>
      </c>
    </row>
    <row r="211" spans="1:4" s="1" customFormat="1" ht="30" customHeight="1" x14ac:dyDescent="0.25">
      <c r="A211" s="1" t="s">
        <v>2370</v>
      </c>
      <c r="B211" s="163" t="s">
        <v>443</v>
      </c>
      <c r="C211" s="1" t="s">
        <v>441</v>
      </c>
      <c r="D211" s="1" t="s">
        <v>2370</v>
      </c>
    </row>
    <row r="212" spans="1:4" s="1" customFormat="1" ht="30" customHeight="1" x14ac:dyDescent="0.25">
      <c r="A212" s="1" t="s">
        <v>2182</v>
      </c>
      <c r="B212" s="164" t="s">
        <v>106</v>
      </c>
      <c r="C212" s="1" t="s">
        <v>104</v>
      </c>
      <c r="D212" s="1" t="s">
        <v>2182</v>
      </c>
    </row>
    <row r="213" spans="1:4" s="1" customFormat="1" ht="30" customHeight="1" x14ac:dyDescent="0.25">
      <c r="A213" s="1" t="s">
        <v>1021</v>
      </c>
      <c r="B213" s="171" t="s">
        <v>334</v>
      </c>
      <c r="C213" s="1" t="s">
        <v>331</v>
      </c>
      <c r="D213" s="1" t="s">
        <v>1021</v>
      </c>
    </row>
    <row r="214" spans="1:4" s="1" customFormat="1" ht="30" customHeight="1" x14ac:dyDescent="0.25">
      <c r="A214" s="1" t="s">
        <v>928</v>
      </c>
      <c r="B214" s="163" t="s">
        <v>548</v>
      </c>
      <c r="C214" s="1" t="s">
        <v>545</v>
      </c>
      <c r="D214" s="1" t="s">
        <v>928</v>
      </c>
    </row>
    <row r="215" spans="1:4" s="1" customFormat="1" ht="30" customHeight="1" x14ac:dyDescent="0.25">
      <c r="A215" s="1" t="s">
        <v>2266</v>
      </c>
      <c r="B215" s="176" t="s">
        <v>547</v>
      </c>
      <c r="C215" s="1" t="s">
        <v>545</v>
      </c>
      <c r="D215" s="1" t="s">
        <v>2266</v>
      </c>
    </row>
    <row r="216" spans="1:4" s="1" customFormat="1" ht="30" customHeight="1" x14ac:dyDescent="0.25">
      <c r="A216" s="1" t="s">
        <v>2640</v>
      </c>
      <c r="B216" s="163" t="s">
        <v>475</v>
      </c>
      <c r="C216" s="1" t="s">
        <v>474</v>
      </c>
      <c r="D216" s="1" t="s">
        <v>2640</v>
      </c>
    </row>
    <row r="217" spans="1:4" s="1" customFormat="1" ht="30" customHeight="1" x14ac:dyDescent="0.25">
      <c r="A217" s="1" t="s">
        <v>3222</v>
      </c>
      <c r="B217" s="164" t="s">
        <v>578</v>
      </c>
      <c r="C217" s="1" t="s">
        <v>576</v>
      </c>
      <c r="D217" s="1" t="s">
        <v>3222</v>
      </c>
    </row>
    <row r="218" spans="1:4" s="1" customFormat="1" ht="30" customHeight="1" x14ac:dyDescent="0.25">
      <c r="A218" s="1" t="s">
        <v>2735</v>
      </c>
      <c r="B218" s="113" t="s">
        <v>559</v>
      </c>
      <c r="C218" s="1" t="s">
        <v>556</v>
      </c>
      <c r="D218" s="1" t="s">
        <v>2735</v>
      </c>
    </row>
    <row r="219" spans="1:4" s="1" customFormat="1" ht="30" customHeight="1" x14ac:dyDescent="0.25">
      <c r="A219" s="1" t="s">
        <v>2234</v>
      </c>
      <c r="B219" s="163" t="s">
        <v>554</v>
      </c>
      <c r="C219" s="1" t="s">
        <v>551</v>
      </c>
      <c r="D219" s="1" t="s">
        <v>2234</v>
      </c>
    </row>
    <row r="220" spans="1:4" s="1" customFormat="1" ht="30" customHeight="1" x14ac:dyDescent="0.25">
      <c r="A220" s="1" t="s">
        <v>2649</v>
      </c>
      <c r="B220" s="176" t="s">
        <v>369</v>
      </c>
      <c r="C220" s="1" t="s">
        <v>365</v>
      </c>
      <c r="D220" s="1" t="s">
        <v>2649</v>
      </c>
    </row>
    <row r="221" spans="1:4" s="1" customFormat="1" ht="30" customHeight="1" x14ac:dyDescent="0.25">
      <c r="A221" s="1" t="s">
        <v>1186</v>
      </c>
      <c r="B221" s="176" t="s">
        <v>366</v>
      </c>
      <c r="C221" s="1" t="s">
        <v>365</v>
      </c>
      <c r="D221" s="1" t="s">
        <v>1186</v>
      </c>
    </row>
    <row r="222" spans="1:4" s="1" customFormat="1" ht="30" customHeight="1" x14ac:dyDescent="0.25">
      <c r="A222" s="1" t="s">
        <v>3109</v>
      </c>
      <c r="B222" s="21" t="s">
        <v>131</v>
      </c>
      <c r="C222" s="1" t="s">
        <v>130</v>
      </c>
      <c r="D222" s="1" t="s">
        <v>3109</v>
      </c>
    </row>
    <row r="223" spans="1:4" s="1" customFormat="1" ht="30" customHeight="1" x14ac:dyDescent="0.25">
      <c r="A223" s="1" t="s">
        <v>1850</v>
      </c>
      <c r="B223" s="163" t="s">
        <v>25</v>
      </c>
      <c r="C223" s="1" t="s">
        <v>24</v>
      </c>
      <c r="D223" s="1" t="s">
        <v>1850</v>
      </c>
    </row>
    <row r="224" spans="1:4" s="1" customFormat="1" ht="30" customHeight="1" x14ac:dyDescent="0.25">
      <c r="A224" s="1" t="s">
        <v>2601</v>
      </c>
      <c r="B224" s="106" t="s">
        <v>391</v>
      </c>
      <c r="C224" s="1" t="s">
        <v>384</v>
      </c>
      <c r="D224" s="1" t="s">
        <v>2601</v>
      </c>
    </row>
    <row r="225" spans="1:4" s="1" customFormat="1" ht="30" customHeight="1" x14ac:dyDescent="0.25">
      <c r="A225" s="1" t="s">
        <v>2712</v>
      </c>
      <c r="B225" s="176" t="s">
        <v>370</v>
      </c>
      <c r="C225" s="1" t="s">
        <v>365</v>
      </c>
      <c r="D225" s="1" t="s">
        <v>2712</v>
      </c>
    </row>
    <row r="226" spans="1:4" s="1" customFormat="1" ht="30" customHeight="1" x14ac:dyDescent="0.25">
      <c r="A226" s="1" t="s">
        <v>2737</v>
      </c>
      <c r="B226" s="173" t="s">
        <v>110</v>
      </c>
      <c r="C226" s="1" t="s">
        <v>107</v>
      </c>
      <c r="D226" s="1" t="s">
        <v>2737</v>
      </c>
    </row>
    <row r="227" spans="1:4" s="1" customFormat="1" ht="30" customHeight="1" x14ac:dyDescent="0.25">
      <c r="A227" s="1" t="s">
        <v>1312</v>
      </c>
      <c r="B227" s="176" t="s">
        <v>371</v>
      </c>
      <c r="C227" s="1" t="s">
        <v>365</v>
      </c>
      <c r="D227" s="1" t="s">
        <v>1312</v>
      </c>
    </row>
    <row r="228" spans="1:4" s="1" customFormat="1" ht="30" customHeight="1" x14ac:dyDescent="0.25">
      <c r="A228" s="1" t="s">
        <v>2093</v>
      </c>
      <c r="B228" s="173" t="s">
        <v>519</v>
      </c>
      <c r="C228" s="1" t="s">
        <v>515</v>
      </c>
      <c r="D228" s="1" t="s">
        <v>2093</v>
      </c>
    </row>
    <row r="229" spans="1:4" s="1" customFormat="1" ht="30" customHeight="1" x14ac:dyDescent="0.25">
      <c r="A229" s="1" t="s">
        <v>1649</v>
      </c>
      <c r="B229" s="176" t="s">
        <v>485</v>
      </c>
      <c r="C229" s="1" t="s">
        <v>484</v>
      </c>
      <c r="D229" s="1" t="s">
        <v>1649</v>
      </c>
    </row>
    <row r="230" spans="1:4" s="1" customFormat="1" ht="30" customHeight="1" x14ac:dyDescent="0.25">
      <c r="A230" s="1" t="s">
        <v>2619</v>
      </c>
      <c r="B230" s="168" t="s">
        <v>178</v>
      </c>
      <c r="C230" s="1" t="s">
        <v>175</v>
      </c>
      <c r="D230" s="1" t="s">
        <v>2619</v>
      </c>
    </row>
    <row r="231" spans="1:4" s="1" customFormat="1" ht="30" customHeight="1" x14ac:dyDescent="0.25">
      <c r="A231" s="1" t="s">
        <v>1526</v>
      </c>
      <c r="B231" s="176" t="s">
        <v>509</v>
      </c>
      <c r="C231" s="1" t="s">
        <v>505</v>
      </c>
      <c r="D231" s="1" t="s">
        <v>1526</v>
      </c>
    </row>
    <row r="232" spans="1:4" s="1" customFormat="1" ht="30" customHeight="1" x14ac:dyDescent="0.25">
      <c r="A232" s="1" t="s">
        <v>751</v>
      </c>
      <c r="B232" s="16" t="s">
        <v>584</v>
      </c>
      <c r="C232" s="1" t="s">
        <v>580</v>
      </c>
      <c r="D232" s="1" t="s">
        <v>751</v>
      </c>
    </row>
    <row r="233" spans="1:4" s="1" customFormat="1" ht="30" customHeight="1" x14ac:dyDescent="0.25">
      <c r="A233" s="1" t="s">
        <v>2714</v>
      </c>
      <c r="B233" s="176" t="s">
        <v>468</v>
      </c>
      <c r="C233" s="1" t="s">
        <v>464</v>
      </c>
      <c r="D233" s="1" t="s">
        <v>2714</v>
      </c>
    </row>
    <row r="234" spans="1:4" s="1" customFormat="1" ht="30" customHeight="1" x14ac:dyDescent="0.25">
      <c r="A234" s="1" t="s">
        <v>3319</v>
      </c>
      <c r="B234" s="176" t="s">
        <v>414</v>
      </c>
      <c r="C234" s="1" t="s">
        <v>412</v>
      </c>
      <c r="D234" s="1" t="s">
        <v>3319</v>
      </c>
    </row>
    <row r="235" spans="1:4" s="1" customFormat="1" ht="30" customHeight="1" x14ac:dyDescent="0.25">
      <c r="A235" s="1" t="s">
        <v>1635</v>
      </c>
      <c r="B235" s="166" t="s">
        <v>563</v>
      </c>
      <c r="C235" s="1" t="s">
        <v>560</v>
      </c>
      <c r="D235" s="1" t="s">
        <v>1635</v>
      </c>
    </row>
    <row r="236" spans="1:4" s="1" customFormat="1" ht="30" customHeight="1" x14ac:dyDescent="0.25">
      <c r="A236" s="1" t="s">
        <v>1889</v>
      </c>
      <c r="B236" s="163" t="s">
        <v>360</v>
      </c>
      <c r="C236" s="1" t="s">
        <v>359</v>
      </c>
      <c r="D236" s="1" t="s">
        <v>1889</v>
      </c>
    </row>
    <row r="237" spans="1:4" s="1" customFormat="1" ht="30" customHeight="1" x14ac:dyDescent="0.25">
      <c r="A237" s="1" t="s">
        <v>3246</v>
      </c>
      <c r="B237" s="163" t="s">
        <v>141</v>
      </c>
      <c r="C237" s="1" t="s">
        <v>139</v>
      </c>
      <c r="D237" s="1" t="s">
        <v>3246</v>
      </c>
    </row>
    <row r="238" spans="1:4" s="1" customFormat="1" ht="30" customHeight="1" x14ac:dyDescent="0.25">
      <c r="A238" s="1" t="s">
        <v>2817</v>
      </c>
      <c r="B238" s="29" t="s">
        <v>482</v>
      </c>
      <c r="C238" s="1" t="s">
        <v>479</v>
      </c>
      <c r="D238" s="1" t="s">
        <v>2817</v>
      </c>
    </row>
    <row r="239" spans="1:4" s="1" customFormat="1" ht="30" customHeight="1" x14ac:dyDescent="0.25">
      <c r="A239" s="1" t="s">
        <v>1210</v>
      </c>
      <c r="B239" s="163" t="s">
        <v>483</v>
      </c>
      <c r="C239" s="1" t="s">
        <v>479</v>
      </c>
      <c r="D239" s="1" t="s">
        <v>1210</v>
      </c>
    </row>
    <row r="240" spans="1:4" s="1" customFormat="1" ht="30" customHeight="1" x14ac:dyDescent="0.25">
      <c r="A240" s="1" t="s">
        <v>2224</v>
      </c>
      <c r="B240" s="163" t="s">
        <v>572</v>
      </c>
      <c r="C240" s="1" t="s">
        <v>571</v>
      </c>
      <c r="D240" s="1" t="s">
        <v>2224</v>
      </c>
    </row>
    <row r="241" spans="1:4" s="1" customFormat="1" ht="30" customHeight="1" x14ac:dyDescent="0.25">
      <c r="A241" s="1" t="s">
        <v>808</v>
      </c>
      <c r="B241" s="67" t="s">
        <v>134</v>
      </c>
      <c r="C241" s="1" t="s">
        <v>133</v>
      </c>
      <c r="D241" s="1" t="s">
        <v>808</v>
      </c>
    </row>
    <row r="242" spans="1:4" s="1" customFormat="1" ht="30" customHeight="1" x14ac:dyDescent="0.25">
      <c r="A242" s="1" t="s">
        <v>1699</v>
      </c>
      <c r="B242" s="163" t="s">
        <v>567</v>
      </c>
      <c r="C242" s="1" t="s">
        <v>565</v>
      </c>
      <c r="D242" s="1" t="s">
        <v>1699</v>
      </c>
    </row>
    <row r="243" spans="1:4" s="1" customFormat="1" ht="30" customHeight="1" x14ac:dyDescent="0.25">
      <c r="A243" s="1" t="s">
        <v>1030</v>
      </c>
      <c r="B243" s="163" t="s">
        <v>302</v>
      </c>
      <c r="C243" s="1" t="s">
        <v>300</v>
      </c>
      <c r="D243" s="1" t="s">
        <v>1030</v>
      </c>
    </row>
    <row r="244" spans="1:4" s="1" customFormat="1" ht="30" customHeight="1" x14ac:dyDescent="0.25">
      <c r="A244" s="1" t="s">
        <v>2113</v>
      </c>
      <c r="B244" s="163" t="s">
        <v>235</v>
      </c>
      <c r="C244" s="1" t="s">
        <v>234</v>
      </c>
      <c r="D244" s="1" t="s">
        <v>2113</v>
      </c>
    </row>
    <row r="245" spans="1:4" s="1" customFormat="1" ht="30" customHeight="1" x14ac:dyDescent="0.25">
      <c r="A245" s="1" t="s">
        <v>2341</v>
      </c>
      <c r="B245" s="68" t="s">
        <v>329</v>
      </c>
      <c r="C245" s="1" t="s">
        <v>327</v>
      </c>
      <c r="D245" s="1" t="s">
        <v>2341</v>
      </c>
    </row>
    <row r="246" spans="1:4" s="1" customFormat="1" ht="30" customHeight="1" x14ac:dyDescent="0.25">
      <c r="A246" s="1" t="s">
        <v>2025</v>
      </c>
      <c r="B246" s="173" t="s">
        <v>91</v>
      </c>
      <c r="C246" s="1" t="s">
        <v>90</v>
      </c>
      <c r="D246" s="1" t="s">
        <v>2025</v>
      </c>
    </row>
    <row r="247" spans="1:4" s="1" customFormat="1" ht="30" customHeight="1" x14ac:dyDescent="0.25">
      <c r="A247" s="1" t="s">
        <v>1906</v>
      </c>
      <c r="B247" s="24" t="s">
        <v>488</v>
      </c>
      <c r="C247" s="1" t="s">
        <v>484</v>
      </c>
      <c r="D247" s="1" t="s">
        <v>1906</v>
      </c>
    </row>
    <row r="248" spans="1:4" s="1" customFormat="1" ht="30" customHeight="1" x14ac:dyDescent="0.25">
      <c r="A248" s="1" t="s">
        <v>1732</v>
      </c>
      <c r="B248" s="176" t="s">
        <v>403</v>
      </c>
      <c r="C248" s="1" t="s">
        <v>398</v>
      </c>
      <c r="D248" s="1" t="s">
        <v>1732</v>
      </c>
    </row>
    <row r="249" spans="1:4" s="1" customFormat="1" ht="30" customHeight="1" x14ac:dyDescent="0.25">
      <c r="A249" s="1" t="s">
        <v>639</v>
      </c>
      <c r="B249" s="67" t="s">
        <v>128</v>
      </c>
      <c r="C249" s="1" t="s">
        <v>126</v>
      </c>
      <c r="D249" s="1" t="s">
        <v>639</v>
      </c>
    </row>
    <row r="250" spans="1:4" s="1" customFormat="1" ht="30" customHeight="1" x14ac:dyDescent="0.25">
      <c r="A250" s="1" t="s">
        <v>3229</v>
      </c>
      <c r="B250" s="176" t="s">
        <v>520</v>
      </c>
      <c r="C250" s="1" t="s">
        <v>515</v>
      </c>
      <c r="D250" s="1" t="s">
        <v>3229</v>
      </c>
    </row>
    <row r="251" spans="1:4" s="1" customFormat="1" ht="30" customHeight="1" x14ac:dyDescent="0.25">
      <c r="A251" s="1" t="s">
        <v>2824</v>
      </c>
      <c r="B251" s="176" t="s">
        <v>201</v>
      </c>
      <c r="C251" s="1" t="s">
        <v>200</v>
      </c>
      <c r="D251" s="1" t="s">
        <v>2824</v>
      </c>
    </row>
    <row r="252" spans="1:4" s="1" customFormat="1" ht="30" customHeight="1" x14ac:dyDescent="0.25">
      <c r="A252" s="3" t="s">
        <v>2346</v>
      </c>
      <c r="B252" s="219" t="s">
        <v>66</v>
      </c>
      <c r="C252" s="1" t="s">
        <v>82</v>
      </c>
      <c r="D252" s="3" t="s">
        <v>2346</v>
      </c>
    </row>
    <row r="253" spans="1:4" s="1" customFormat="1" ht="30" customHeight="1" x14ac:dyDescent="0.25">
      <c r="A253" s="1" t="s">
        <v>1433</v>
      </c>
      <c r="B253" s="16" t="s">
        <v>174</v>
      </c>
      <c r="C253" s="1" t="s">
        <v>170</v>
      </c>
      <c r="D253" s="1" t="s">
        <v>1433</v>
      </c>
    </row>
    <row r="254" spans="1:4" s="1" customFormat="1" ht="30" customHeight="1" x14ac:dyDescent="0.25">
      <c r="A254" s="1" t="s">
        <v>1281</v>
      </c>
      <c r="B254" s="173" t="s">
        <v>353</v>
      </c>
      <c r="C254" s="1" t="s">
        <v>351</v>
      </c>
      <c r="D254" s="1" t="s">
        <v>1281</v>
      </c>
    </row>
    <row r="255" spans="1:4" s="1" customFormat="1" ht="30" customHeight="1" x14ac:dyDescent="0.25">
      <c r="A255" s="1" t="s">
        <v>1367</v>
      </c>
      <c r="B255" s="151" t="s">
        <v>319</v>
      </c>
      <c r="C255" s="1" t="s">
        <v>318</v>
      </c>
      <c r="D255" s="1" t="s">
        <v>1367</v>
      </c>
    </row>
    <row r="256" spans="1:4" s="1" customFormat="1" ht="30" customHeight="1" x14ac:dyDescent="0.25">
      <c r="A256" s="1" t="s">
        <v>1189</v>
      </c>
      <c r="B256" s="217" t="s">
        <v>46</v>
      </c>
      <c r="C256" s="1" t="s">
        <v>43</v>
      </c>
      <c r="D256" s="1" t="s">
        <v>1189</v>
      </c>
    </row>
    <row r="257" spans="1:4" s="1" customFormat="1" ht="30" customHeight="1" x14ac:dyDescent="0.25">
      <c r="A257" s="1" t="s">
        <v>2624</v>
      </c>
      <c r="B257" s="167" t="s">
        <v>44</v>
      </c>
      <c r="C257" s="1" t="s">
        <v>43</v>
      </c>
      <c r="D257" s="1" t="s">
        <v>2624</v>
      </c>
    </row>
    <row r="258" spans="1:4" s="1" customFormat="1" ht="30" customHeight="1" x14ac:dyDescent="0.25">
      <c r="A258" s="1" t="s">
        <v>3267</v>
      </c>
      <c r="B258" s="67" t="s">
        <v>127</v>
      </c>
      <c r="C258" s="1" t="s">
        <v>126</v>
      </c>
      <c r="D258" s="1" t="s">
        <v>3267</v>
      </c>
    </row>
    <row r="259" spans="1:4" s="1" customFormat="1" ht="30" customHeight="1" x14ac:dyDescent="0.25">
      <c r="A259" s="1" t="s">
        <v>2517</v>
      </c>
      <c r="B259" s="163" t="s">
        <v>453</v>
      </c>
      <c r="C259" s="1" t="s">
        <v>451</v>
      </c>
      <c r="D259" s="1" t="s">
        <v>2517</v>
      </c>
    </row>
    <row r="260" spans="1:4" s="1" customFormat="1" ht="30" customHeight="1" x14ac:dyDescent="0.25">
      <c r="A260" s="1" t="s">
        <v>2883</v>
      </c>
      <c r="B260" s="61" t="s">
        <v>490</v>
      </c>
      <c r="C260" s="1" t="s">
        <v>489</v>
      </c>
      <c r="D260" s="1" t="s">
        <v>2883</v>
      </c>
    </row>
    <row r="261" spans="1:4" s="1" customFormat="1" ht="30" customHeight="1" x14ac:dyDescent="0.25">
      <c r="A261" s="1" t="s">
        <v>2605</v>
      </c>
      <c r="B261" s="176" t="s">
        <v>70</v>
      </c>
      <c r="C261" s="1" t="s">
        <v>69</v>
      </c>
      <c r="D261" s="1" t="s">
        <v>2605</v>
      </c>
    </row>
    <row r="262" spans="1:4" s="1" customFormat="1" ht="30" customHeight="1" x14ac:dyDescent="0.25">
      <c r="A262" s="1" t="s">
        <v>1971</v>
      </c>
      <c r="B262" s="52" t="s">
        <v>328</v>
      </c>
      <c r="C262" s="1" t="s">
        <v>327</v>
      </c>
      <c r="D262" s="1" t="s">
        <v>1971</v>
      </c>
    </row>
    <row r="263" spans="1:4" s="1" customFormat="1" ht="30" customHeight="1" x14ac:dyDescent="0.25">
      <c r="A263" s="1" t="s">
        <v>1232</v>
      </c>
      <c r="B263" s="15" t="s">
        <v>94</v>
      </c>
      <c r="C263" s="1" t="s">
        <v>90</v>
      </c>
      <c r="D263" s="1" t="s">
        <v>1232</v>
      </c>
    </row>
    <row r="264" spans="1:4" s="1" customFormat="1" ht="30" customHeight="1" x14ac:dyDescent="0.25">
      <c r="A264" s="1" t="s">
        <v>774</v>
      </c>
      <c r="B264" s="63" t="s">
        <v>121</v>
      </c>
      <c r="C264" s="1" t="s">
        <v>117</v>
      </c>
      <c r="D264" s="1" t="s">
        <v>774</v>
      </c>
    </row>
    <row r="265" spans="1:4" s="1" customFormat="1" ht="30" customHeight="1" x14ac:dyDescent="0.25">
      <c r="A265" s="1" t="s">
        <v>2807</v>
      </c>
      <c r="B265" s="168" t="s">
        <v>220</v>
      </c>
      <c r="C265" s="1" t="s">
        <v>219</v>
      </c>
      <c r="D265" s="1" t="s">
        <v>2807</v>
      </c>
    </row>
    <row r="266" spans="1:4" s="1" customFormat="1" ht="30" customHeight="1" x14ac:dyDescent="0.25">
      <c r="A266" s="1" t="s">
        <v>690</v>
      </c>
      <c r="B266" s="15" t="s">
        <v>223</v>
      </c>
      <c r="C266" s="1" t="s">
        <v>219</v>
      </c>
      <c r="D266" s="1" t="s">
        <v>690</v>
      </c>
    </row>
    <row r="267" spans="1:4" s="1" customFormat="1" ht="30" customHeight="1" x14ac:dyDescent="0.25">
      <c r="A267" s="1" t="s">
        <v>2536</v>
      </c>
      <c r="B267" s="176" t="s">
        <v>332</v>
      </c>
      <c r="C267" s="1" t="s">
        <v>331</v>
      </c>
      <c r="D267" s="1" t="s">
        <v>2536</v>
      </c>
    </row>
    <row r="268" spans="1:4" s="1" customFormat="1" ht="30" customHeight="1" x14ac:dyDescent="0.25">
      <c r="A268" s="1" t="s">
        <v>2273</v>
      </c>
      <c r="B268" s="163" t="s">
        <v>575</v>
      </c>
      <c r="C268" s="1" t="s">
        <v>571</v>
      </c>
      <c r="D268" s="1" t="s">
        <v>2273</v>
      </c>
    </row>
    <row r="269" spans="1:4" s="1" customFormat="1" ht="30" customHeight="1" x14ac:dyDescent="0.25">
      <c r="A269" s="1" t="s">
        <v>2283</v>
      </c>
      <c r="B269" s="176" t="s">
        <v>21</v>
      </c>
      <c r="C269" s="1" t="s">
        <v>20</v>
      </c>
      <c r="D269" s="1" t="s">
        <v>2283</v>
      </c>
    </row>
    <row r="270" spans="1:4" s="1" customFormat="1" ht="30" customHeight="1" x14ac:dyDescent="0.25">
      <c r="A270" s="1" t="s">
        <v>2422</v>
      </c>
      <c r="B270" s="24" t="s">
        <v>23</v>
      </c>
      <c r="C270" s="1" t="s">
        <v>20</v>
      </c>
      <c r="D270" s="1" t="s">
        <v>2422</v>
      </c>
    </row>
    <row r="271" spans="1:4" s="1" customFormat="1" ht="30" customHeight="1" x14ac:dyDescent="0.25">
      <c r="A271" s="1" t="s">
        <v>2728</v>
      </c>
      <c r="B271" s="24" t="s">
        <v>395</v>
      </c>
      <c r="C271" s="1" t="s">
        <v>392</v>
      </c>
      <c r="D271" s="1" t="s">
        <v>2728</v>
      </c>
    </row>
    <row r="272" spans="1:4" s="1" customFormat="1" ht="30" customHeight="1" x14ac:dyDescent="0.25">
      <c r="A272" s="1" t="s">
        <v>1834</v>
      </c>
      <c r="B272" s="168" t="s">
        <v>268</v>
      </c>
      <c r="C272" s="1" t="s">
        <v>265</v>
      </c>
      <c r="D272" s="1" t="s">
        <v>1834</v>
      </c>
    </row>
    <row r="273" spans="1:4" s="1" customFormat="1" ht="30" customHeight="1" x14ac:dyDescent="0.25">
      <c r="A273" s="1" t="s">
        <v>2005</v>
      </c>
      <c r="B273" s="21" t="s">
        <v>73</v>
      </c>
      <c r="C273" s="1" t="s">
        <v>69</v>
      </c>
      <c r="D273" s="1" t="s">
        <v>2005</v>
      </c>
    </row>
    <row r="274" spans="1:4" s="1" customFormat="1" ht="30" customHeight="1" x14ac:dyDescent="0.25">
      <c r="A274" s="1" t="s">
        <v>1974</v>
      </c>
      <c r="B274" s="29" t="s">
        <v>570</v>
      </c>
      <c r="C274" s="1" t="s">
        <v>565</v>
      </c>
      <c r="D274" s="1" t="s">
        <v>1974</v>
      </c>
    </row>
    <row r="275" spans="1:4" s="1" customFormat="1" ht="30" customHeight="1" x14ac:dyDescent="0.25">
      <c r="A275" s="1" t="s">
        <v>2096</v>
      </c>
      <c r="B275" s="21" t="s">
        <v>137</v>
      </c>
      <c r="C275" s="1" t="s">
        <v>136</v>
      </c>
      <c r="D275" s="1" t="s">
        <v>2096</v>
      </c>
    </row>
    <row r="276" spans="1:4" s="1" customFormat="1" ht="30" customHeight="1" x14ac:dyDescent="0.25">
      <c r="A276" s="1" t="s">
        <v>2264</v>
      </c>
      <c r="B276" s="168" t="s">
        <v>277</v>
      </c>
      <c r="C276" s="1" t="s">
        <v>275</v>
      </c>
      <c r="D276" s="1" t="s">
        <v>2264</v>
      </c>
    </row>
    <row r="277" spans="1:4" s="1" customFormat="1" ht="30" customHeight="1" x14ac:dyDescent="0.25">
      <c r="A277" s="1" t="s">
        <v>1176</v>
      </c>
      <c r="B277" s="21" t="s">
        <v>239</v>
      </c>
      <c r="C277" s="1" t="s">
        <v>237</v>
      </c>
      <c r="D277" s="1" t="s">
        <v>1176</v>
      </c>
    </row>
    <row r="278" spans="1:4" s="1" customFormat="1" ht="30" customHeight="1" x14ac:dyDescent="0.25">
      <c r="A278" s="1" t="s">
        <v>3369</v>
      </c>
      <c r="B278" s="16" t="s">
        <v>357</v>
      </c>
      <c r="C278" s="1" t="s">
        <v>355</v>
      </c>
      <c r="D278" s="1" t="s">
        <v>3369</v>
      </c>
    </row>
    <row r="279" spans="1:4" s="1" customFormat="1" ht="30" customHeight="1" x14ac:dyDescent="0.25">
      <c r="A279" s="1" t="s">
        <v>2749</v>
      </c>
      <c r="B279" s="168" t="s">
        <v>336</v>
      </c>
      <c r="C279" s="1" t="s">
        <v>335</v>
      </c>
      <c r="D279" s="1" t="s">
        <v>2749</v>
      </c>
    </row>
    <row r="280" spans="1:4" s="1" customFormat="1" ht="30" customHeight="1" x14ac:dyDescent="0.25">
      <c r="A280" s="1" t="s">
        <v>855</v>
      </c>
      <c r="B280" s="73" t="s">
        <v>356</v>
      </c>
      <c r="C280" s="1" t="s">
        <v>355</v>
      </c>
      <c r="D280" s="1" t="s">
        <v>855</v>
      </c>
    </row>
    <row r="281" spans="1:4" s="1" customFormat="1" ht="30" customHeight="1" x14ac:dyDescent="0.25">
      <c r="A281" s="1" t="s">
        <v>2554</v>
      </c>
      <c r="B281" s="176" t="s">
        <v>207</v>
      </c>
      <c r="C281" s="1" t="s">
        <v>205</v>
      </c>
      <c r="D281" s="1" t="s">
        <v>2554</v>
      </c>
    </row>
    <row r="282" spans="1:4" s="1" customFormat="1" ht="30" customHeight="1" x14ac:dyDescent="0.25">
      <c r="A282" s="1" t="s">
        <v>2387</v>
      </c>
      <c r="B282" s="52" t="s">
        <v>314</v>
      </c>
      <c r="C282" s="1" t="s">
        <v>313</v>
      </c>
      <c r="D282" s="1" t="s">
        <v>2387</v>
      </c>
    </row>
    <row r="283" spans="1:4" s="1" customFormat="1" ht="30" customHeight="1" x14ac:dyDescent="0.25">
      <c r="A283" s="1" t="s">
        <v>2580</v>
      </c>
      <c r="B283" s="216" t="s">
        <v>321</v>
      </c>
      <c r="C283" s="1" t="s">
        <v>320</v>
      </c>
      <c r="D283" s="1" t="s">
        <v>2580</v>
      </c>
    </row>
    <row r="284" spans="1:4" s="1" customFormat="1" ht="30" customHeight="1" x14ac:dyDescent="0.25">
      <c r="A284" s="1" t="s">
        <v>1247</v>
      </c>
      <c r="B284" s="176" t="s">
        <v>429</v>
      </c>
      <c r="C284" s="1" t="s">
        <v>426</v>
      </c>
      <c r="D284" s="1" t="s">
        <v>1247</v>
      </c>
    </row>
    <row r="285" spans="1:4" s="1" customFormat="1" ht="30" customHeight="1" x14ac:dyDescent="0.25">
      <c r="A285" s="1" t="s">
        <v>3278</v>
      </c>
      <c r="B285" s="224" t="s">
        <v>147</v>
      </c>
      <c r="C285" s="1" t="s">
        <v>146</v>
      </c>
      <c r="D285" s="1" t="s">
        <v>3278</v>
      </c>
    </row>
    <row r="286" spans="1:4" s="1" customFormat="1" ht="30" customHeight="1" x14ac:dyDescent="0.25">
      <c r="A286" s="1" t="s">
        <v>1961</v>
      </c>
      <c r="B286" s="217" t="s">
        <v>213</v>
      </c>
      <c r="C286" s="1" t="s">
        <v>209</v>
      </c>
      <c r="D286" s="1" t="s">
        <v>1961</v>
      </c>
    </row>
    <row r="287" spans="1:4" s="1" customFormat="1" ht="30" customHeight="1" x14ac:dyDescent="0.25">
      <c r="A287" s="1" t="s">
        <v>2669</v>
      </c>
      <c r="B287" s="176" t="s">
        <v>397</v>
      </c>
      <c r="C287" s="1" t="s">
        <v>392</v>
      </c>
      <c r="D287" s="1" t="s">
        <v>2669</v>
      </c>
    </row>
    <row r="288" spans="1:4" s="1" customFormat="1" ht="30" customHeight="1" x14ac:dyDescent="0.25">
      <c r="A288" s="1" t="s">
        <v>2410</v>
      </c>
      <c r="B288" s="21" t="s">
        <v>263</v>
      </c>
      <c r="C288" s="1" t="s">
        <v>262</v>
      </c>
      <c r="D288" s="1" t="s">
        <v>2410</v>
      </c>
    </row>
    <row r="289" spans="1:4" s="1" customFormat="1" ht="30" customHeight="1" x14ac:dyDescent="0.25">
      <c r="A289" s="1" t="s">
        <v>1570</v>
      </c>
      <c r="B289" s="176" t="s">
        <v>444</v>
      </c>
      <c r="C289" s="1" t="s">
        <v>441</v>
      </c>
      <c r="D289" s="1" t="s">
        <v>1570</v>
      </c>
    </row>
    <row r="290" spans="1:4" s="1" customFormat="1" ht="30" customHeight="1" x14ac:dyDescent="0.25">
      <c r="A290" s="1" t="s">
        <v>2268</v>
      </c>
      <c r="B290" s="174" t="s">
        <v>546</v>
      </c>
      <c r="C290" s="1" t="s">
        <v>545</v>
      </c>
      <c r="D290" s="1" t="s">
        <v>2268</v>
      </c>
    </row>
    <row r="291" spans="1:4" s="1" customFormat="1" ht="30" customHeight="1" x14ac:dyDescent="0.25">
      <c r="A291" s="1" t="s">
        <v>1704</v>
      </c>
      <c r="B291" s="176" t="s">
        <v>440</v>
      </c>
      <c r="C291" s="1" t="s">
        <v>435</v>
      </c>
      <c r="D291" s="1" t="s">
        <v>1704</v>
      </c>
    </row>
    <row r="292" spans="1:4" s="1" customFormat="1" ht="30" customHeight="1" x14ac:dyDescent="0.25">
      <c r="A292" s="1" t="s">
        <v>2278</v>
      </c>
      <c r="B292" s="176" t="s">
        <v>574</v>
      </c>
      <c r="C292" s="1" t="s">
        <v>571</v>
      </c>
      <c r="D292" s="1" t="s">
        <v>2278</v>
      </c>
    </row>
    <row r="293" spans="1:4" s="1" customFormat="1" ht="30" customHeight="1" x14ac:dyDescent="0.25">
      <c r="A293" s="1" t="s">
        <v>755</v>
      </c>
      <c r="B293" s="222" t="s">
        <v>581</v>
      </c>
      <c r="C293" s="1" t="s">
        <v>580</v>
      </c>
      <c r="D293" s="1" t="s">
        <v>755</v>
      </c>
    </row>
    <row r="294" spans="1:4" s="1" customFormat="1" ht="30" customHeight="1" x14ac:dyDescent="0.25">
      <c r="A294" s="1" t="s">
        <v>1734</v>
      </c>
      <c r="B294" s="168" t="s">
        <v>404</v>
      </c>
      <c r="C294" s="1" t="s">
        <v>398</v>
      </c>
      <c r="D294" s="1" t="s">
        <v>1734</v>
      </c>
    </row>
    <row r="295" spans="1:4" s="1" customFormat="1" ht="30" customHeight="1" x14ac:dyDescent="0.25">
      <c r="A295" s="1" t="s">
        <v>839</v>
      </c>
      <c r="B295" s="176" t="s">
        <v>493</v>
      </c>
      <c r="C295" s="1" t="s">
        <v>489</v>
      </c>
      <c r="D295" s="1" t="s">
        <v>839</v>
      </c>
    </row>
    <row r="296" spans="1:4" s="1" customFormat="1" ht="30" customHeight="1" x14ac:dyDescent="0.25">
      <c r="A296" s="1" t="s">
        <v>615</v>
      </c>
      <c r="B296" s="175" t="s">
        <v>420</v>
      </c>
      <c r="C296" s="1" t="s">
        <v>417</v>
      </c>
      <c r="D296" s="1" t="s">
        <v>615</v>
      </c>
    </row>
    <row r="297" spans="1:4" s="1" customFormat="1" ht="30" customHeight="1" x14ac:dyDescent="0.25">
      <c r="A297" s="1" t="s">
        <v>2504</v>
      </c>
      <c r="B297" s="173" t="s">
        <v>115</v>
      </c>
      <c r="C297" s="1" t="s">
        <v>112</v>
      </c>
      <c r="D297" s="1" t="s">
        <v>2504</v>
      </c>
    </row>
    <row r="298" spans="1:4" s="1" customFormat="1" ht="30" customHeight="1" x14ac:dyDescent="0.25">
      <c r="A298" s="1" t="s">
        <v>2716</v>
      </c>
      <c r="B298" s="163" t="s">
        <v>171</v>
      </c>
      <c r="C298" s="1" t="s">
        <v>170</v>
      </c>
      <c r="D298" s="1" t="s">
        <v>2716</v>
      </c>
    </row>
    <row r="299" spans="1:4" s="1" customFormat="1" ht="30" customHeight="1" x14ac:dyDescent="0.25">
      <c r="A299" s="1" t="s">
        <v>2984</v>
      </c>
      <c r="B299" s="176" t="s">
        <v>530</v>
      </c>
      <c r="C299" s="1" t="s">
        <v>527</v>
      </c>
      <c r="D299" s="1" t="s">
        <v>2984</v>
      </c>
    </row>
    <row r="300" spans="1:4" s="1" customFormat="1" ht="30" customHeight="1" x14ac:dyDescent="0.25">
      <c r="A300" s="1" t="s">
        <v>976</v>
      </c>
      <c r="B300" s="21" t="s">
        <v>260</v>
      </c>
      <c r="C300" s="1" t="s">
        <v>259</v>
      </c>
      <c r="D300" s="1" t="s">
        <v>976</v>
      </c>
    </row>
    <row r="301" spans="1:4" s="1" customFormat="1" ht="30" customHeight="1" x14ac:dyDescent="0.25">
      <c r="A301" s="1" t="s">
        <v>3245</v>
      </c>
      <c r="B301" s="16" t="s">
        <v>253</v>
      </c>
      <c r="C301" s="1" t="s">
        <v>252</v>
      </c>
      <c r="D301" s="1" t="s">
        <v>3245</v>
      </c>
    </row>
    <row r="302" spans="1:4" s="1" customFormat="1" ht="30" customHeight="1" x14ac:dyDescent="0.25">
      <c r="A302" s="1" t="s">
        <v>1864</v>
      </c>
      <c r="B302" s="222" t="s">
        <v>514</v>
      </c>
      <c r="C302" s="1" t="s">
        <v>510</v>
      </c>
      <c r="D302" s="1" t="s">
        <v>1864</v>
      </c>
    </row>
    <row r="303" spans="1:4" s="1" customFormat="1" ht="30" customHeight="1" x14ac:dyDescent="0.25">
      <c r="A303" s="1" t="s">
        <v>3050</v>
      </c>
      <c r="B303" s="173" t="s">
        <v>276</v>
      </c>
      <c r="C303" s="1" t="s">
        <v>275</v>
      </c>
      <c r="D303" s="1" t="s">
        <v>3050</v>
      </c>
    </row>
    <row r="304" spans="1:4" s="1" customFormat="1" ht="30" customHeight="1" x14ac:dyDescent="0.25">
      <c r="A304" s="1" t="s">
        <v>2586</v>
      </c>
      <c r="B304" s="176" t="s">
        <v>245</v>
      </c>
      <c r="C304" s="1" t="s">
        <v>243</v>
      </c>
      <c r="D304" s="1" t="s">
        <v>2586</v>
      </c>
    </row>
    <row r="305" spans="1:4" s="1" customFormat="1" ht="30" customHeight="1" x14ac:dyDescent="0.25">
      <c r="A305" s="1" t="s">
        <v>2308</v>
      </c>
      <c r="B305" s="27" t="s">
        <v>163</v>
      </c>
      <c r="C305" s="1" t="s">
        <v>159</v>
      </c>
      <c r="D305" s="1" t="s">
        <v>2308</v>
      </c>
    </row>
    <row r="306" spans="1:4" s="1" customFormat="1" ht="30" customHeight="1" x14ac:dyDescent="0.25">
      <c r="A306" s="1" t="s">
        <v>2294</v>
      </c>
      <c r="B306" s="52" t="s">
        <v>339</v>
      </c>
      <c r="C306" s="1" t="s">
        <v>338</v>
      </c>
      <c r="D306" s="1" t="s">
        <v>2294</v>
      </c>
    </row>
    <row r="307" spans="1:4" s="1" customFormat="1" ht="30" customHeight="1" x14ac:dyDescent="0.25">
      <c r="A307" s="1" t="s">
        <v>1300</v>
      </c>
      <c r="B307" s="52" t="s">
        <v>317</v>
      </c>
      <c r="C307" s="3" t="s">
        <v>315</v>
      </c>
      <c r="D307" s="1" t="s">
        <v>1300</v>
      </c>
    </row>
    <row r="308" spans="1:4" s="1" customFormat="1" ht="30" customHeight="1" x14ac:dyDescent="0.25">
      <c r="A308" s="1" t="s">
        <v>2696</v>
      </c>
      <c r="B308" s="176" t="s">
        <v>382</v>
      </c>
      <c r="C308" s="1" t="s">
        <v>378</v>
      </c>
      <c r="D308" s="1" t="s">
        <v>2696</v>
      </c>
    </row>
    <row r="309" spans="1:4" s="1" customFormat="1" ht="30" customHeight="1" x14ac:dyDescent="0.25">
      <c r="A309" s="1" t="s">
        <v>3360</v>
      </c>
      <c r="B309" s="165" t="s">
        <v>508</v>
      </c>
      <c r="C309" s="1" t="s">
        <v>505</v>
      </c>
      <c r="D309" s="1" t="s">
        <v>3360</v>
      </c>
    </row>
    <row r="310" spans="1:4" s="1" customFormat="1" ht="30" customHeight="1" x14ac:dyDescent="0.25">
      <c r="A310" s="1" t="s">
        <v>1606</v>
      </c>
      <c r="B310" s="176" t="s">
        <v>383</v>
      </c>
      <c r="C310" s="1" t="s">
        <v>378</v>
      </c>
      <c r="D310" s="1" t="s">
        <v>1606</v>
      </c>
    </row>
    <row r="311" spans="1:4" s="1" customFormat="1" ht="30" customHeight="1" x14ac:dyDescent="0.25">
      <c r="A311" s="1" t="s">
        <v>1389</v>
      </c>
      <c r="B311" s="173" t="s">
        <v>143</v>
      </c>
      <c r="C311" s="1" t="s">
        <v>142</v>
      </c>
      <c r="D311" s="1" t="s">
        <v>1389</v>
      </c>
    </row>
    <row r="312" spans="1:4" s="1" customFormat="1" ht="30" customHeight="1" x14ac:dyDescent="0.25">
      <c r="A312" s="1" t="s">
        <v>3196</v>
      </c>
      <c r="B312" s="24" t="s">
        <v>486</v>
      </c>
      <c r="C312" s="1" t="s">
        <v>484</v>
      </c>
      <c r="D312" s="1" t="s">
        <v>3196</v>
      </c>
    </row>
    <row r="313" spans="1:4" s="1" customFormat="1" ht="30" customHeight="1" x14ac:dyDescent="0.25">
      <c r="A313" s="1" t="s">
        <v>2754</v>
      </c>
      <c r="B313" s="176" t="s">
        <v>487</v>
      </c>
      <c r="C313" s="1" t="s">
        <v>484</v>
      </c>
      <c r="D313" s="1" t="s">
        <v>2754</v>
      </c>
    </row>
    <row r="314" spans="1:4" s="1" customFormat="1" ht="30" customHeight="1" x14ac:dyDescent="0.25">
      <c r="A314" s="1" t="s">
        <v>1174</v>
      </c>
      <c r="B314" s="168" t="s">
        <v>202</v>
      </c>
      <c r="C314" s="1" t="s">
        <v>200</v>
      </c>
      <c r="D314" s="1" t="s">
        <v>1174</v>
      </c>
    </row>
    <row r="315" spans="1:4" s="1" customFormat="1" ht="30" customHeight="1" x14ac:dyDescent="0.25">
      <c r="A315" s="1" t="s">
        <v>1516</v>
      </c>
      <c r="B315" s="56" t="s">
        <v>96</v>
      </c>
      <c r="C315" s="1" t="s">
        <v>95</v>
      </c>
      <c r="D315" s="1" t="s">
        <v>1516</v>
      </c>
    </row>
    <row r="316" spans="1:4" s="1" customFormat="1" ht="30" customHeight="1" x14ac:dyDescent="0.25">
      <c r="A316" s="1" t="s">
        <v>702</v>
      </c>
      <c r="B316" s="176" t="s">
        <v>544</v>
      </c>
      <c r="C316" s="1" t="s">
        <v>540</v>
      </c>
      <c r="D316" s="1" t="s">
        <v>702</v>
      </c>
    </row>
    <row r="317" spans="1:4" s="1" customFormat="1" ht="30" customHeight="1" x14ac:dyDescent="0.25">
      <c r="A317" s="1" t="s">
        <v>2770</v>
      </c>
      <c r="B317" s="216" t="s">
        <v>408</v>
      </c>
      <c r="C317" s="1" t="s">
        <v>405</v>
      </c>
      <c r="D317" s="1" t="s">
        <v>2770</v>
      </c>
    </row>
    <row r="318" spans="1:4" s="1" customFormat="1" ht="30" customHeight="1" x14ac:dyDescent="0.25">
      <c r="A318" s="1" t="s">
        <v>2769</v>
      </c>
      <c r="B318" s="216" t="s">
        <v>406</v>
      </c>
      <c r="C318" s="1" t="s">
        <v>405</v>
      </c>
      <c r="D318" s="1" t="s">
        <v>2769</v>
      </c>
    </row>
    <row r="319" spans="1:4" s="1" customFormat="1" ht="30" customHeight="1" x14ac:dyDescent="0.25">
      <c r="A319" s="1" t="s">
        <v>1761</v>
      </c>
      <c r="B319" s="24" t="s">
        <v>494</v>
      </c>
      <c r="C319" s="1" t="s">
        <v>489</v>
      </c>
      <c r="D319" s="1" t="s">
        <v>1761</v>
      </c>
    </row>
    <row r="320" spans="1:4" s="1" customFormat="1" ht="30" customHeight="1" x14ac:dyDescent="0.25">
      <c r="A320" s="1" t="s">
        <v>1774</v>
      </c>
      <c r="B320" s="52" t="s">
        <v>340</v>
      </c>
      <c r="C320" s="1" t="s">
        <v>338</v>
      </c>
      <c r="D320" s="1" t="s">
        <v>1774</v>
      </c>
    </row>
    <row r="321" spans="1:4" s="1" customFormat="1" ht="30" customHeight="1" x14ac:dyDescent="0.25">
      <c r="A321" s="1" t="s">
        <v>882</v>
      </c>
      <c r="B321" s="113" t="s">
        <v>525</v>
      </c>
      <c r="C321" s="1" t="s">
        <v>521</v>
      </c>
      <c r="D321" s="1" t="s">
        <v>882</v>
      </c>
    </row>
    <row r="322" spans="1:4" s="1" customFormat="1" ht="30" customHeight="1" x14ac:dyDescent="0.25">
      <c r="A322" s="1" t="s">
        <v>2556</v>
      </c>
      <c r="B322" s="30" t="s">
        <v>203</v>
      </c>
      <c r="C322" s="1" t="s">
        <v>200</v>
      </c>
      <c r="D322" s="1" t="s">
        <v>2556</v>
      </c>
    </row>
    <row r="323" spans="1:4" s="1" customFormat="1" ht="30" customHeight="1" x14ac:dyDescent="0.25">
      <c r="A323" s="1" t="s">
        <v>2376</v>
      </c>
      <c r="B323" s="62" t="s">
        <v>118</v>
      </c>
      <c r="C323" s="1" t="s">
        <v>117</v>
      </c>
      <c r="D323" s="1" t="s">
        <v>2376</v>
      </c>
    </row>
    <row r="324" spans="1:4" s="1" customFormat="1" ht="30" customHeight="1" x14ac:dyDescent="0.25">
      <c r="A324" s="1" t="s">
        <v>2541</v>
      </c>
      <c r="B324" s="130" t="s">
        <v>513</v>
      </c>
      <c r="C324" s="1" t="s">
        <v>510</v>
      </c>
      <c r="D324" s="1" t="s">
        <v>2541</v>
      </c>
    </row>
    <row r="325" spans="1:4" s="1" customFormat="1" ht="30" customHeight="1" x14ac:dyDescent="0.25">
      <c r="A325" s="1" t="s">
        <v>1969</v>
      </c>
      <c r="B325" s="113" t="s">
        <v>325</v>
      </c>
      <c r="C325" s="1" t="s">
        <v>322</v>
      </c>
      <c r="D325" s="1" t="s">
        <v>1969</v>
      </c>
    </row>
    <row r="326" spans="1:4" s="1" customFormat="1" ht="30" customHeight="1" x14ac:dyDescent="0.25">
      <c r="A326" s="1" t="s">
        <v>893</v>
      </c>
      <c r="B326" s="33" t="s">
        <v>491</v>
      </c>
      <c r="C326" s="1" t="s">
        <v>489</v>
      </c>
      <c r="D326" s="1" t="s">
        <v>893</v>
      </c>
    </row>
    <row r="327" spans="1:4" s="1" customFormat="1" ht="30" customHeight="1" x14ac:dyDescent="0.25">
      <c r="A327" s="1" t="s">
        <v>1208</v>
      </c>
      <c r="B327" s="33" t="s">
        <v>226</v>
      </c>
      <c r="C327" s="1" t="s">
        <v>224</v>
      </c>
      <c r="D327" s="1" t="s">
        <v>1208</v>
      </c>
    </row>
    <row r="328" spans="1:4" s="1" customFormat="1" ht="30" customHeight="1" x14ac:dyDescent="0.25">
      <c r="A328" s="1" t="s">
        <v>1866</v>
      </c>
      <c r="B328" s="30" t="s">
        <v>123</v>
      </c>
      <c r="C328" s="1" t="s">
        <v>122</v>
      </c>
      <c r="D328" s="1" t="s">
        <v>1866</v>
      </c>
    </row>
    <row r="329" spans="1:4" s="1" customFormat="1" ht="30" customHeight="1" x14ac:dyDescent="0.25">
      <c r="A329" s="1" t="s">
        <v>2337</v>
      </c>
      <c r="B329" s="30" t="s">
        <v>208</v>
      </c>
      <c r="C329" s="1" t="s">
        <v>205</v>
      </c>
      <c r="D329" s="1" t="s">
        <v>2337</v>
      </c>
    </row>
    <row r="330" spans="1:4" s="1" customFormat="1" ht="30" customHeight="1" x14ac:dyDescent="0.25">
      <c r="A330" s="1" t="s">
        <v>2891</v>
      </c>
      <c r="B330" s="221" t="s">
        <v>160</v>
      </c>
      <c r="C330" s="1" t="s">
        <v>159</v>
      </c>
      <c r="D330" s="1" t="s">
        <v>2891</v>
      </c>
    </row>
    <row r="331" spans="1:4" s="1" customFormat="1" ht="30" customHeight="1" x14ac:dyDescent="0.25">
      <c r="A331" s="161" t="s">
        <v>3403</v>
      </c>
      <c r="B331" s="113" t="s">
        <v>539</v>
      </c>
      <c r="C331" s="1" t="s">
        <v>535</v>
      </c>
      <c r="D331" s="161" t="s">
        <v>3403</v>
      </c>
    </row>
    <row r="332" spans="1:4" s="1" customFormat="1" ht="30" customHeight="1" x14ac:dyDescent="0.25">
      <c r="A332" s="161" t="s">
        <v>3404</v>
      </c>
      <c r="B332" s="176" t="s">
        <v>549</v>
      </c>
      <c r="C332" s="1" t="s">
        <v>545</v>
      </c>
      <c r="D332" s="161" t="s">
        <v>3404</v>
      </c>
    </row>
    <row r="333" spans="1:4" s="1" customFormat="1" ht="30" customHeight="1" x14ac:dyDescent="0.25">
      <c r="A333" s="161" t="s">
        <v>3405</v>
      </c>
      <c r="B333" s="112" t="s">
        <v>561</v>
      </c>
      <c r="C333" s="1" t="s">
        <v>560</v>
      </c>
      <c r="D333" s="161" t="s">
        <v>3405</v>
      </c>
    </row>
    <row r="334" spans="1:4" s="1" customFormat="1" ht="30" customHeight="1" x14ac:dyDescent="0.25">
      <c r="A334" s="161" t="s">
        <v>3406</v>
      </c>
      <c r="B334" s="48" t="s">
        <v>568</v>
      </c>
      <c r="C334" s="1" t="s">
        <v>565</v>
      </c>
      <c r="D334" s="161" t="s">
        <v>3406</v>
      </c>
    </row>
    <row r="335" spans="1:4" s="1" customFormat="1" ht="30" customHeight="1" x14ac:dyDescent="0.25">
      <c r="A335" s="161" t="s">
        <v>3407</v>
      </c>
      <c r="B335" s="113" t="s">
        <v>458</v>
      </c>
      <c r="C335" s="1" t="s">
        <v>454</v>
      </c>
      <c r="D335" s="161" t="s">
        <v>3407</v>
      </c>
    </row>
    <row r="336" spans="1:4" s="1" customFormat="1" ht="30" customHeight="1" x14ac:dyDescent="0.25">
      <c r="A336" s="161" t="s">
        <v>3408</v>
      </c>
      <c r="B336" s="220" t="s">
        <v>214</v>
      </c>
      <c r="C336" s="1" t="s">
        <v>209</v>
      </c>
      <c r="D336" s="161" t="s">
        <v>3408</v>
      </c>
    </row>
    <row r="337" spans="1:4" s="1" customFormat="1" ht="30" customHeight="1" x14ac:dyDescent="0.25">
      <c r="A337" s="161" t="s">
        <v>3409</v>
      </c>
      <c r="B337" s="57" t="s">
        <v>157</v>
      </c>
      <c r="C337" s="1" t="s">
        <v>154</v>
      </c>
      <c r="D337" s="161" t="s">
        <v>3409</v>
      </c>
    </row>
    <row r="338" spans="1:4" s="1" customFormat="1" ht="30" customHeight="1" x14ac:dyDescent="0.25">
      <c r="A338" s="161" t="s">
        <v>3410</v>
      </c>
      <c r="B338" s="23" t="s">
        <v>564</v>
      </c>
      <c r="C338" s="1" t="s">
        <v>560</v>
      </c>
      <c r="D338" s="161" t="s">
        <v>3410</v>
      </c>
    </row>
    <row r="339" spans="1:4" s="1" customFormat="1" ht="30" customHeight="1" x14ac:dyDescent="0.25">
      <c r="A339" s="161" t="s">
        <v>3411</v>
      </c>
      <c r="B339" s="165" t="s">
        <v>416</v>
      </c>
      <c r="C339" s="1" t="s">
        <v>412</v>
      </c>
      <c r="D339" s="161" t="s">
        <v>3411</v>
      </c>
    </row>
    <row r="340" spans="1:4" s="1" customFormat="1" ht="30" customHeight="1" x14ac:dyDescent="0.25">
      <c r="A340" s="161" t="s">
        <v>3412</v>
      </c>
      <c r="B340" s="30" t="s">
        <v>87</v>
      </c>
      <c r="C340" s="1" t="s">
        <v>83</v>
      </c>
      <c r="D340" s="161" t="s">
        <v>3412</v>
      </c>
    </row>
    <row r="341" spans="1:4" s="1" customFormat="1" ht="30" customHeight="1" x14ac:dyDescent="0.25">
      <c r="A341" s="161" t="s">
        <v>3413</v>
      </c>
      <c r="B341" s="113" t="s">
        <v>410</v>
      </c>
      <c r="C341" s="1" t="s">
        <v>405</v>
      </c>
      <c r="D341" s="161" t="s">
        <v>3413</v>
      </c>
    </row>
    <row r="342" spans="1:4" s="1" customFormat="1" ht="30" customHeight="1" x14ac:dyDescent="0.25">
      <c r="A342" s="161" t="s">
        <v>3414</v>
      </c>
      <c r="B342" s="119" t="s">
        <v>499</v>
      </c>
      <c r="C342" s="1" t="s">
        <v>495</v>
      </c>
      <c r="D342" s="161" t="s">
        <v>3414</v>
      </c>
    </row>
    <row r="343" spans="1:4" s="1" customFormat="1" ht="30" customHeight="1" x14ac:dyDescent="0.25">
      <c r="A343" s="161" t="s">
        <v>3415</v>
      </c>
      <c r="B343" s="80" t="s">
        <v>562</v>
      </c>
      <c r="C343" s="1" t="s">
        <v>560</v>
      </c>
      <c r="D343" s="161" t="s">
        <v>3415</v>
      </c>
    </row>
    <row r="344" spans="1:4" s="1" customFormat="1" ht="30" customHeight="1" x14ac:dyDescent="0.25">
      <c r="A344" s="161" t="s">
        <v>3416</v>
      </c>
      <c r="B344" s="48" t="s">
        <v>84</v>
      </c>
      <c r="C344" s="1" t="s">
        <v>83</v>
      </c>
      <c r="D344" s="161" t="s">
        <v>3416</v>
      </c>
    </row>
    <row r="345" spans="1:4" s="1" customFormat="1" ht="30" customHeight="1" x14ac:dyDescent="0.25">
      <c r="A345" s="161" t="s">
        <v>3417</v>
      </c>
      <c r="B345" s="176" t="s">
        <v>445</v>
      </c>
      <c r="C345" s="1" t="s">
        <v>441</v>
      </c>
      <c r="D345" s="161" t="s">
        <v>3417</v>
      </c>
    </row>
    <row r="346" spans="1:4" s="1" customFormat="1" ht="30" customHeight="1" x14ac:dyDescent="0.25">
      <c r="A346" s="161" t="s">
        <v>3418</v>
      </c>
      <c r="B346" s="38" t="s">
        <v>89</v>
      </c>
      <c r="C346" s="1" t="s">
        <v>88</v>
      </c>
      <c r="D346" s="161" t="s">
        <v>3418</v>
      </c>
    </row>
    <row r="347" spans="1:4" s="1" customFormat="1" ht="30" customHeight="1" x14ac:dyDescent="0.25">
      <c r="A347" s="161" t="s">
        <v>3419</v>
      </c>
      <c r="B347" s="24" t="s">
        <v>427</v>
      </c>
      <c r="C347" s="1" t="s">
        <v>426</v>
      </c>
      <c r="D347" s="161" t="s">
        <v>3419</v>
      </c>
    </row>
    <row r="348" spans="1:4" s="1" customFormat="1" ht="30" customHeight="1" x14ac:dyDescent="0.25">
      <c r="A348" s="161" t="s">
        <v>3420</v>
      </c>
      <c r="B348" s="50" t="s">
        <v>145</v>
      </c>
      <c r="C348" s="1" t="s">
        <v>142</v>
      </c>
      <c r="D348" s="161" t="s">
        <v>3420</v>
      </c>
    </row>
    <row r="349" spans="1:4" s="1" customFormat="1" ht="30" customHeight="1" x14ac:dyDescent="0.25"/>
    <row r="350" spans="1:4" s="1" customFormat="1" ht="30" customHeight="1" x14ac:dyDescent="0.25"/>
    <row r="351" spans="1:4" s="1" customFormat="1" ht="30" customHeight="1" x14ac:dyDescent="0.25"/>
    <row r="352" spans="1:4" s="1" customFormat="1" ht="30" customHeight="1" x14ac:dyDescent="0.25"/>
    <row r="353" s="1" customFormat="1" ht="30" customHeight="1" x14ac:dyDescent="0.25"/>
    <row r="354" s="1" customFormat="1" ht="30" customHeight="1" x14ac:dyDescent="0.25"/>
    <row r="355" s="1" customFormat="1" ht="30" customHeight="1" x14ac:dyDescent="0.25"/>
    <row r="356" s="1" customFormat="1" ht="30" customHeight="1" x14ac:dyDescent="0.25"/>
    <row r="357" s="1" customFormat="1" ht="30" customHeight="1" x14ac:dyDescent="0.25"/>
    <row r="358" s="1" customFormat="1" ht="30" customHeight="1" x14ac:dyDescent="0.25"/>
    <row r="359" s="1" customFormat="1" ht="30" customHeight="1" x14ac:dyDescent="0.25"/>
    <row r="360" s="1" customFormat="1" ht="30" customHeight="1" x14ac:dyDescent="0.25"/>
    <row r="361" s="1" customFormat="1" ht="30" customHeight="1" x14ac:dyDescent="0.25"/>
    <row r="362" s="1" customFormat="1" ht="30" customHeight="1" x14ac:dyDescent="0.25"/>
    <row r="363" s="1" customFormat="1" ht="30" customHeight="1" x14ac:dyDescent="0.25"/>
    <row r="364" s="1" customFormat="1" ht="30" customHeight="1" x14ac:dyDescent="0.25"/>
    <row r="365" s="1" customFormat="1" ht="30" customHeight="1" x14ac:dyDescent="0.25"/>
    <row r="366" s="1" customFormat="1" ht="30" customHeight="1" x14ac:dyDescent="0.25"/>
    <row r="367" s="1" customFormat="1" ht="30" customHeight="1" x14ac:dyDescent="0.25"/>
    <row r="368" s="1" customFormat="1" ht="30" customHeight="1" x14ac:dyDescent="0.25"/>
    <row r="369" s="1" customFormat="1" ht="30" customHeight="1" x14ac:dyDescent="0.25"/>
    <row r="370" s="1" customFormat="1" ht="30" customHeight="1" x14ac:dyDescent="0.25"/>
    <row r="371" s="1" customFormat="1" ht="30" customHeight="1" x14ac:dyDescent="0.25"/>
    <row r="372" s="1" customFormat="1" ht="30" customHeight="1" x14ac:dyDescent="0.25"/>
    <row r="373" s="1" customFormat="1" ht="30" customHeight="1" x14ac:dyDescent="0.25"/>
    <row r="374" s="1" customFormat="1" ht="30" customHeight="1" x14ac:dyDescent="0.25"/>
    <row r="375" s="1" customFormat="1" ht="30" customHeight="1" x14ac:dyDescent="0.25"/>
    <row r="376" s="1" customFormat="1" ht="30" customHeight="1" x14ac:dyDescent="0.25"/>
    <row r="377" s="1" customFormat="1" ht="30" customHeight="1" x14ac:dyDescent="0.25"/>
    <row r="378" s="1" customFormat="1" ht="30" customHeight="1" x14ac:dyDescent="0.25"/>
    <row r="379" s="1" customFormat="1" ht="30" customHeight="1" x14ac:dyDescent="0.25"/>
    <row r="380" s="1" customFormat="1" ht="30" customHeight="1" x14ac:dyDescent="0.25"/>
    <row r="381" s="1" customFormat="1" ht="30" customHeight="1" x14ac:dyDescent="0.25"/>
    <row r="382" s="1" customFormat="1" ht="30" customHeight="1" x14ac:dyDescent="0.25"/>
    <row r="383" s="1" customFormat="1" ht="30" customHeight="1" x14ac:dyDescent="0.25"/>
    <row r="384" s="1" customFormat="1" ht="30" customHeight="1" x14ac:dyDescent="0.25"/>
    <row r="385" s="1" customFormat="1" ht="30" customHeight="1" x14ac:dyDescent="0.25"/>
    <row r="386" s="1" customFormat="1" ht="30" customHeight="1" x14ac:dyDescent="0.25"/>
    <row r="387" s="1" customFormat="1" ht="30" customHeight="1" x14ac:dyDescent="0.25"/>
    <row r="388" s="1" customFormat="1" ht="30" customHeight="1" x14ac:dyDescent="0.25"/>
    <row r="389" s="1" customFormat="1" ht="30" customHeight="1" x14ac:dyDescent="0.25"/>
    <row r="390" s="1" customFormat="1" ht="30" customHeight="1" x14ac:dyDescent="0.25"/>
    <row r="391" s="1" customFormat="1" ht="30" customHeight="1" x14ac:dyDescent="0.25"/>
    <row r="392" s="1" customFormat="1" ht="30" customHeight="1" x14ac:dyDescent="0.25"/>
    <row r="393" s="1" customFormat="1" ht="30" customHeight="1" x14ac:dyDescent="0.25"/>
    <row r="394" s="1" customFormat="1" ht="30" customHeight="1" x14ac:dyDescent="0.25"/>
    <row r="395" s="1" customFormat="1" ht="30" customHeight="1" x14ac:dyDescent="0.25"/>
    <row r="396" s="1" customFormat="1" ht="30" customHeight="1" x14ac:dyDescent="0.25"/>
    <row r="397" s="1" customFormat="1" ht="30" customHeight="1" x14ac:dyDescent="0.25"/>
    <row r="398" s="1" customFormat="1" ht="30" customHeight="1" x14ac:dyDescent="0.25"/>
    <row r="399" s="1" customFormat="1" ht="30" customHeight="1" x14ac:dyDescent="0.25"/>
    <row r="400" s="1" customFormat="1" ht="30" customHeight="1" x14ac:dyDescent="0.25"/>
    <row r="401" spans="16264:16265" s="1" customFormat="1" ht="30" customHeight="1" x14ac:dyDescent="0.25"/>
    <row r="402" spans="16264:16265" s="1" customFormat="1" ht="30" customHeight="1" x14ac:dyDescent="0.25"/>
    <row r="403" spans="16264:16265" s="1" customFormat="1" ht="30" customHeight="1" x14ac:dyDescent="0.25"/>
    <row r="404" spans="16264:16265" s="1" customFormat="1" ht="30" customHeight="1" x14ac:dyDescent="0.25"/>
    <row r="405" spans="16264:16265" x14ac:dyDescent="0.25">
      <c r="XAN405"/>
      <c r="XAO405"/>
    </row>
  </sheetData>
  <sortState xmlns:xlrd2="http://schemas.microsoft.com/office/spreadsheetml/2017/richdata2" ref="A2:C405">
    <sortCondition ref="A1:A405"/>
  </sortState>
  <phoneticPr fontId="19" type="noConversion"/>
  <conditionalFormatting sqref="B2:B3">
    <cfRule type="duplicateValues" dxfId="280" priority="265"/>
    <cfRule type="duplicateValues" dxfId="279" priority="266"/>
  </conditionalFormatting>
  <conditionalFormatting sqref="B2:B7 B10:B15 B18:B28 B33:B35">
    <cfRule type="duplicateValues" dxfId="278" priority="185"/>
  </conditionalFormatting>
  <conditionalFormatting sqref="B5">
    <cfRule type="duplicateValues" dxfId="277" priority="203"/>
  </conditionalFormatting>
  <conditionalFormatting sqref="B6">
    <cfRule type="duplicateValues" dxfId="276" priority="260"/>
    <cfRule type="duplicateValues" dxfId="275" priority="261"/>
    <cfRule type="duplicateValues" dxfId="274" priority="262"/>
  </conditionalFormatting>
  <conditionalFormatting sqref="B7">
    <cfRule type="duplicateValues" dxfId="273" priority="259"/>
  </conditionalFormatting>
  <conditionalFormatting sqref="B8">
    <cfRule type="duplicateValues" dxfId="272" priority="82"/>
    <cfRule type="duplicateValues" dxfId="271" priority="83"/>
  </conditionalFormatting>
  <conditionalFormatting sqref="B9">
    <cfRule type="duplicateValues" dxfId="270" priority="80"/>
    <cfRule type="duplicateValues" dxfId="269" priority="81"/>
  </conditionalFormatting>
  <conditionalFormatting sqref="B10:B11">
    <cfRule type="duplicateValues" dxfId="268" priority="299"/>
  </conditionalFormatting>
  <conditionalFormatting sqref="B12:B15 B18:B19">
    <cfRule type="duplicateValues" dxfId="267" priority="332"/>
  </conditionalFormatting>
  <conditionalFormatting sqref="B16:B17">
    <cfRule type="duplicateValues" dxfId="266" priority="152"/>
  </conditionalFormatting>
  <conditionalFormatting sqref="B20">
    <cfRule type="duplicateValues" dxfId="265" priority="331"/>
  </conditionalFormatting>
  <conditionalFormatting sqref="B21">
    <cfRule type="duplicateValues" dxfId="264" priority="330"/>
  </conditionalFormatting>
  <conditionalFormatting sqref="B22:B23">
    <cfRule type="duplicateValues" dxfId="263" priority="313"/>
  </conditionalFormatting>
  <conditionalFormatting sqref="B24:B25">
    <cfRule type="duplicateValues" dxfId="262" priority="298"/>
  </conditionalFormatting>
  <conditionalFormatting sqref="B26:B27 B33:B35">
    <cfRule type="duplicateValues" dxfId="261" priority="329"/>
  </conditionalFormatting>
  <conditionalFormatting sqref="B28">
    <cfRule type="duplicateValues" dxfId="260" priority="301"/>
  </conditionalFormatting>
  <conditionalFormatting sqref="B29">
    <cfRule type="duplicateValues" dxfId="259" priority="12"/>
  </conditionalFormatting>
  <conditionalFormatting sqref="B30">
    <cfRule type="duplicateValues" dxfId="258" priority="183"/>
  </conditionalFormatting>
  <conditionalFormatting sqref="B31">
    <cfRule type="duplicateValues" dxfId="257" priority="184"/>
  </conditionalFormatting>
  <conditionalFormatting sqref="B32 B50 B53 B55:B58 B62 B64:B74 B78">
    <cfRule type="duplicateValues" dxfId="256" priority="182"/>
  </conditionalFormatting>
  <conditionalFormatting sqref="B32 B69:B70 B78">
    <cfRule type="duplicateValues" dxfId="255" priority="328"/>
  </conditionalFormatting>
  <conditionalFormatting sqref="B36">
    <cfRule type="duplicateValues" dxfId="254" priority="8"/>
  </conditionalFormatting>
  <conditionalFormatting sqref="B38">
    <cfRule type="duplicateValues" dxfId="253" priority="256"/>
    <cfRule type="duplicateValues" dxfId="252" priority="257"/>
    <cfRule type="duplicateValues" dxfId="251" priority="258"/>
  </conditionalFormatting>
  <conditionalFormatting sqref="B41">
    <cfRule type="duplicateValues" dxfId="250" priority="13"/>
  </conditionalFormatting>
  <conditionalFormatting sqref="B44">
    <cfRule type="duplicateValues" dxfId="249" priority="11"/>
  </conditionalFormatting>
  <conditionalFormatting sqref="B45:B47">
    <cfRule type="duplicateValues" dxfId="248" priority="145"/>
  </conditionalFormatting>
  <conditionalFormatting sqref="B48">
    <cfRule type="duplicateValues" dxfId="247" priority="144"/>
  </conditionalFormatting>
  <conditionalFormatting sqref="B49">
    <cfRule type="duplicateValues" dxfId="246" priority="143"/>
  </conditionalFormatting>
  <conditionalFormatting sqref="B50">
    <cfRule type="duplicateValues" dxfId="245" priority="311"/>
  </conditionalFormatting>
  <conditionalFormatting sqref="B51:B52">
    <cfRule type="duplicateValues" dxfId="244" priority="142"/>
  </conditionalFormatting>
  <conditionalFormatting sqref="B53">
    <cfRule type="duplicateValues" dxfId="243" priority="310"/>
  </conditionalFormatting>
  <conditionalFormatting sqref="B54">
    <cfRule type="duplicateValues" dxfId="242" priority="7"/>
  </conditionalFormatting>
  <conditionalFormatting sqref="B55:B56">
    <cfRule type="duplicateValues" dxfId="241" priority="309"/>
  </conditionalFormatting>
  <conditionalFormatting sqref="B57">
    <cfRule type="duplicateValues" dxfId="240" priority="240"/>
    <cfRule type="duplicateValues" dxfId="239" priority="241"/>
  </conditionalFormatting>
  <conditionalFormatting sqref="B59">
    <cfRule type="duplicateValues" dxfId="238" priority="5"/>
    <cfRule type="duplicateValues" dxfId="237" priority="6"/>
  </conditionalFormatting>
  <conditionalFormatting sqref="B59:B60">
    <cfRule type="duplicateValues" dxfId="236" priority="3"/>
  </conditionalFormatting>
  <conditionalFormatting sqref="B60">
    <cfRule type="duplicateValues" dxfId="235" priority="4"/>
  </conditionalFormatting>
  <conditionalFormatting sqref="B61">
    <cfRule type="duplicateValues" dxfId="234" priority="25"/>
  </conditionalFormatting>
  <conditionalFormatting sqref="B62">
    <cfRule type="duplicateValues" dxfId="233" priority="220"/>
  </conditionalFormatting>
  <conditionalFormatting sqref="B63">
    <cfRule type="duplicateValues" dxfId="232" priority="24"/>
  </conditionalFormatting>
  <conditionalFormatting sqref="B64">
    <cfRule type="duplicateValues" dxfId="231" priority="308"/>
  </conditionalFormatting>
  <conditionalFormatting sqref="B65">
    <cfRule type="duplicateValues" dxfId="230" priority="327"/>
  </conditionalFormatting>
  <conditionalFormatting sqref="B66">
    <cfRule type="duplicateValues" dxfId="229" priority="297"/>
  </conditionalFormatting>
  <conditionalFormatting sqref="B67">
    <cfRule type="duplicateValues" dxfId="228" priority="279"/>
  </conditionalFormatting>
  <conditionalFormatting sqref="B68">
    <cfRule type="duplicateValues" dxfId="227" priority="278"/>
  </conditionalFormatting>
  <conditionalFormatting sqref="B71">
    <cfRule type="duplicateValues" dxfId="226" priority="277"/>
  </conditionalFormatting>
  <conditionalFormatting sqref="B72">
    <cfRule type="duplicateValues" dxfId="225" priority="276"/>
  </conditionalFormatting>
  <conditionalFormatting sqref="B73">
    <cfRule type="duplicateValues" dxfId="224" priority="305"/>
  </conditionalFormatting>
  <conditionalFormatting sqref="B74">
    <cfRule type="duplicateValues" dxfId="223" priority="306"/>
  </conditionalFormatting>
  <conditionalFormatting sqref="B75">
    <cfRule type="duplicateValues" dxfId="222" priority="141"/>
  </conditionalFormatting>
  <conditionalFormatting sqref="B76">
    <cfRule type="duplicateValues" dxfId="221" priority="23"/>
  </conditionalFormatting>
  <conditionalFormatting sqref="B79">
    <cfRule type="duplicateValues" dxfId="220" priority="27"/>
  </conditionalFormatting>
  <conditionalFormatting sqref="B80">
    <cfRule type="duplicateValues" dxfId="219" priority="295"/>
  </conditionalFormatting>
  <conditionalFormatting sqref="B80:B87 B89:B117 B119:B129 B131 B135:B138 B140:B141 B144:B147">
    <cfRule type="duplicateValues" dxfId="218" priority="181"/>
  </conditionalFormatting>
  <conditionalFormatting sqref="B81">
    <cfRule type="duplicateValues" dxfId="217" priority="294"/>
  </conditionalFormatting>
  <conditionalFormatting sqref="B82">
    <cfRule type="duplicateValues" dxfId="216" priority="293"/>
  </conditionalFormatting>
  <conditionalFormatting sqref="B83">
    <cfRule type="duplicateValues" dxfId="215" priority="296"/>
  </conditionalFormatting>
  <conditionalFormatting sqref="B84:B85 B87 B91:B92 B96:B98 B100 B102 B104:B113 B115 B119:B123">
    <cfRule type="duplicateValues" dxfId="214" priority="326"/>
  </conditionalFormatting>
  <conditionalFormatting sqref="B86">
    <cfRule type="duplicateValues" dxfId="213" priority="228"/>
    <cfRule type="duplicateValues" dxfId="212" priority="229"/>
  </conditionalFormatting>
  <conditionalFormatting sqref="B93">
    <cfRule type="duplicateValues" dxfId="211" priority="205"/>
  </conditionalFormatting>
  <conditionalFormatting sqref="B94">
    <cfRule type="duplicateValues" dxfId="210" priority="325"/>
  </conditionalFormatting>
  <conditionalFormatting sqref="B95">
    <cfRule type="duplicateValues" dxfId="209" priority="324"/>
  </conditionalFormatting>
  <conditionalFormatting sqref="B103">
    <cfRule type="duplicateValues" dxfId="208" priority="235"/>
  </conditionalFormatting>
  <conditionalFormatting sqref="B116">
    <cfRule type="duplicateValues" dxfId="207" priority="292"/>
  </conditionalFormatting>
  <conditionalFormatting sqref="B117">
    <cfRule type="duplicateValues" dxfId="206" priority="264"/>
  </conditionalFormatting>
  <conditionalFormatting sqref="B118">
    <cfRule type="duplicateValues" dxfId="205" priority="26"/>
  </conditionalFormatting>
  <conditionalFormatting sqref="B128:B129">
    <cfRule type="duplicateValues" dxfId="204" priority="272"/>
  </conditionalFormatting>
  <conditionalFormatting sqref="B129">
    <cfRule type="duplicateValues" dxfId="203" priority="273"/>
  </conditionalFormatting>
  <conditionalFormatting sqref="B130">
    <cfRule type="duplicateValues" dxfId="202" priority="166"/>
  </conditionalFormatting>
  <conditionalFormatting sqref="B131">
    <cfRule type="duplicateValues" dxfId="201" priority="291"/>
  </conditionalFormatting>
  <conditionalFormatting sqref="B132">
    <cfRule type="duplicateValues" dxfId="200" priority="140"/>
  </conditionalFormatting>
  <conditionalFormatting sqref="B133">
    <cfRule type="duplicateValues" dxfId="199" priority="139"/>
  </conditionalFormatting>
  <conditionalFormatting sqref="B134">
    <cfRule type="duplicateValues" dxfId="198" priority="79"/>
  </conditionalFormatting>
  <conditionalFormatting sqref="B135">
    <cfRule type="duplicateValues" dxfId="197" priority="227"/>
  </conditionalFormatting>
  <conditionalFormatting sqref="B136">
    <cfRule type="duplicateValues" dxfId="196" priority="271"/>
  </conditionalFormatting>
  <conditionalFormatting sqref="B137">
    <cfRule type="duplicateValues" dxfId="195" priority="215"/>
  </conditionalFormatting>
  <conditionalFormatting sqref="B138">
    <cfRule type="duplicateValues" dxfId="194" priority="274"/>
    <cfRule type="duplicateValues" dxfId="193" priority="275"/>
  </conditionalFormatting>
  <conditionalFormatting sqref="B139">
    <cfRule type="duplicateValues" dxfId="192" priority="22"/>
  </conditionalFormatting>
  <conditionalFormatting sqref="B140">
    <cfRule type="duplicateValues" dxfId="191" priority="270"/>
  </conditionalFormatting>
  <conditionalFormatting sqref="B141">
    <cfRule type="duplicateValues" dxfId="190" priority="269"/>
  </conditionalFormatting>
  <conditionalFormatting sqref="B142">
    <cfRule type="duplicateValues" dxfId="189" priority="138"/>
  </conditionalFormatting>
  <conditionalFormatting sqref="B144:B145">
    <cfRule type="duplicateValues" dxfId="188" priority="323"/>
  </conditionalFormatting>
  <conditionalFormatting sqref="B146:B147">
    <cfRule type="duplicateValues" dxfId="187" priority="214"/>
  </conditionalFormatting>
  <conditionalFormatting sqref="B148 B150 B152:B153 B155:B156 B160:B163 B167 B169 B172:B176 B178:B179 B182 B184:B188 B190:B196 B200 B205:B206 B209 B211 B213 B215:B216 B218:B220 B227:B229 B232">
    <cfRule type="duplicateValues" dxfId="186" priority="322"/>
  </conditionalFormatting>
  <conditionalFormatting sqref="B148 B150:B164 B167:B169 B171:B179 B181:B183 B232">
    <cfRule type="duplicateValues" dxfId="185" priority="180"/>
  </conditionalFormatting>
  <conditionalFormatting sqref="B149">
    <cfRule type="duplicateValues" dxfId="184" priority="21"/>
  </conditionalFormatting>
  <conditionalFormatting sqref="B151">
    <cfRule type="duplicateValues" dxfId="183" priority="321"/>
  </conditionalFormatting>
  <conditionalFormatting sqref="B154">
    <cfRule type="duplicateValues" dxfId="182" priority="312"/>
  </conditionalFormatting>
  <conditionalFormatting sqref="B157">
    <cfRule type="duplicateValues" dxfId="181" priority="219"/>
  </conditionalFormatting>
  <conditionalFormatting sqref="B158">
    <cfRule type="duplicateValues" dxfId="180" priority="237"/>
  </conditionalFormatting>
  <conditionalFormatting sqref="B159">
    <cfRule type="duplicateValues" dxfId="179" priority="317"/>
  </conditionalFormatting>
  <conditionalFormatting sqref="B164">
    <cfRule type="duplicateValues" dxfId="178" priority="318"/>
  </conditionalFormatting>
  <conditionalFormatting sqref="B165">
    <cfRule type="duplicateValues" dxfId="177" priority="147"/>
  </conditionalFormatting>
  <conditionalFormatting sqref="B168">
    <cfRule type="duplicateValues" dxfId="176" priority="218"/>
  </conditionalFormatting>
  <conditionalFormatting sqref="B170">
    <cfRule type="duplicateValues" dxfId="175" priority="149"/>
  </conditionalFormatting>
  <conditionalFormatting sqref="B171">
    <cfRule type="duplicateValues" dxfId="174" priority="212"/>
  </conditionalFormatting>
  <conditionalFormatting sqref="B177">
    <cfRule type="duplicateValues" dxfId="173" priority="288"/>
  </conditionalFormatting>
  <conditionalFormatting sqref="B180">
    <cfRule type="duplicateValues" dxfId="172" priority="137"/>
  </conditionalFormatting>
  <conditionalFormatting sqref="B181">
    <cfRule type="duplicateValues" dxfId="171" priority="196"/>
  </conditionalFormatting>
  <conditionalFormatting sqref="B183">
    <cfRule type="duplicateValues" dxfId="170" priority="286"/>
    <cfRule type="duplicateValues" dxfId="169" priority="287"/>
  </conditionalFormatting>
  <conditionalFormatting sqref="B184:B207 B209:B220">
    <cfRule type="duplicateValues" dxfId="168" priority="179"/>
  </conditionalFormatting>
  <conditionalFormatting sqref="B189">
    <cfRule type="duplicateValues" dxfId="167" priority="211"/>
  </conditionalFormatting>
  <conditionalFormatting sqref="B197">
    <cfRule type="duplicateValues" dxfId="166" priority="210"/>
  </conditionalFormatting>
  <conditionalFormatting sqref="B198">
    <cfRule type="duplicateValues" dxfId="165" priority="300"/>
  </conditionalFormatting>
  <conditionalFormatting sqref="B199">
    <cfRule type="duplicateValues" dxfId="164" priority="303"/>
  </conditionalFormatting>
  <conditionalFormatting sqref="B201">
    <cfRule type="duplicateValues" dxfId="163" priority="320"/>
  </conditionalFormatting>
  <conditionalFormatting sqref="B202">
    <cfRule type="duplicateValues" dxfId="162" priority="284"/>
  </conditionalFormatting>
  <conditionalFormatting sqref="B203">
    <cfRule type="duplicateValues" dxfId="161" priority="209"/>
  </conditionalFormatting>
  <conditionalFormatting sqref="B204">
    <cfRule type="duplicateValues" dxfId="160" priority="226"/>
  </conditionalFormatting>
  <conditionalFormatting sqref="B207">
    <cfRule type="duplicateValues" dxfId="159" priority="283"/>
  </conditionalFormatting>
  <conditionalFormatting sqref="B208">
    <cfRule type="duplicateValues" dxfId="158" priority="20"/>
  </conditionalFormatting>
  <conditionalFormatting sqref="B210">
    <cfRule type="duplicateValues" dxfId="157" priority="304"/>
  </conditionalFormatting>
  <conditionalFormatting sqref="B212">
    <cfRule type="duplicateValues" dxfId="156" priority="236"/>
  </conditionalFormatting>
  <conditionalFormatting sqref="B214">
    <cfRule type="duplicateValues" dxfId="155" priority="192"/>
  </conditionalFormatting>
  <conditionalFormatting sqref="B217">
    <cfRule type="duplicateValues" dxfId="154" priority="319"/>
  </conditionalFormatting>
  <conditionalFormatting sqref="B221">
    <cfRule type="duplicateValues" dxfId="153" priority="280"/>
  </conditionalFormatting>
  <conditionalFormatting sqref="B221:B229 B231 B233:B234">
    <cfRule type="duplicateValues" dxfId="152" priority="178"/>
  </conditionalFormatting>
  <conditionalFormatting sqref="B222">
    <cfRule type="duplicateValues" dxfId="151" priority="201"/>
  </conditionalFormatting>
  <conditionalFormatting sqref="B223">
    <cfRule type="duplicateValues" dxfId="150" priority="314"/>
  </conditionalFormatting>
  <conditionalFormatting sqref="B224">
    <cfRule type="duplicateValues" dxfId="149" priority="302"/>
  </conditionalFormatting>
  <conditionalFormatting sqref="B225">
    <cfRule type="duplicateValues" dxfId="148" priority="281"/>
  </conditionalFormatting>
  <conditionalFormatting sqref="B226">
    <cfRule type="duplicateValues" dxfId="147" priority="315"/>
  </conditionalFormatting>
  <conditionalFormatting sqref="B230">
    <cfRule type="duplicateValues" dxfId="146" priority="169"/>
  </conditionalFormatting>
  <conditionalFormatting sqref="B231">
    <cfRule type="duplicateValues" dxfId="145" priority="208"/>
  </conditionalFormatting>
  <conditionalFormatting sqref="B233">
    <cfRule type="duplicateValues" dxfId="144" priority="316"/>
  </conditionalFormatting>
  <conditionalFormatting sqref="B234">
    <cfRule type="duplicateValues" dxfId="143" priority="194"/>
  </conditionalFormatting>
  <conditionalFormatting sqref="B237 B239:B240">
    <cfRule type="duplicateValues" dxfId="142" priority="135"/>
  </conditionalFormatting>
  <conditionalFormatting sqref="B237">
    <cfRule type="duplicateValues" dxfId="141" priority="136"/>
  </conditionalFormatting>
  <conditionalFormatting sqref="B237:B240">
    <cfRule type="duplicateValues" dxfId="140" priority="134"/>
  </conditionalFormatting>
  <conditionalFormatting sqref="B241">
    <cfRule type="duplicateValues" dxfId="139" priority="253"/>
  </conditionalFormatting>
  <conditionalFormatting sqref="B242">
    <cfRule type="duplicateValues" dxfId="138" priority="252"/>
  </conditionalFormatting>
  <conditionalFormatting sqref="B244">
    <cfRule type="duplicateValues" dxfId="137" priority="251"/>
  </conditionalFormatting>
  <conditionalFormatting sqref="B245">
    <cfRule type="duplicateValues" dxfId="136" priority="133"/>
  </conditionalFormatting>
  <conditionalFormatting sqref="B245:B246">
    <cfRule type="duplicateValues" dxfId="135" priority="131"/>
  </conditionalFormatting>
  <conditionalFormatting sqref="B245:B248">
    <cfRule type="duplicateValues" dxfId="134" priority="130"/>
  </conditionalFormatting>
  <conditionalFormatting sqref="B246">
    <cfRule type="duplicateValues" dxfId="133" priority="132"/>
  </conditionalFormatting>
  <conditionalFormatting sqref="B250">
    <cfRule type="duplicateValues" dxfId="132" priority="207"/>
  </conditionalFormatting>
  <conditionalFormatting sqref="B251">
    <cfRule type="duplicateValues" dxfId="131" priority="249"/>
  </conditionalFormatting>
  <conditionalFormatting sqref="B252 B254">
    <cfRule type="duplicateValues" dxfId="130" priority="127"/>
  </conditionalFormatting>
  <conditionalFormatting sqref="B252 B254:B255">
    <cfRule type="duplicateValues" dxfId="129" priority="126"/>
  </conditionalFormatting>
  <conditionalFormatting sqref="B252">
    <cfRule type="duplicateValues" dxfId="128" priority="128"/>
    <cfRule type="duplicateValues" dxfId="127" priority="129"/>
  </conditionalFormatting>
  <conditionalFormatting sqref="B253">
    <cfRule type="duplicateValues" dxfId="126" priority="28"/>
  </conditionalFormatting>
  <conditionalFormatting sqref="B256:B257">
    <cfRule type="duplicateValues" dxfId="125" priority="124"/>
    <cfRule type="duplicateValues" dxfId="124" priority="125"/>
  </conditionalFormatting>
  <conditionalFormatting sqref="B256:B258">
    <cfRule type="duplicateValues" dxfId="123" priority="123"/>
  </conditionalFormatting>
  <conditionalFormatting sqref="B256:B259">
    <cfRule type="duplicateValues" dxfId="122" priority="121"/>
  </conditionalFormatting>
  <conditionalFormatting sqref="B259">
    <cfRule type="duplicateValues" dxfId="121" priority="122"/>
  </conditionalFormatting>
  <conditionalFormatting sqref="B261">
    <cfRule type="duplicateValues" dxfId="120" priority="119"/>
    <cfRule type="duplicateValues" dxfId="119" priority="120"/>
  </conditionalFormatting>
  <conditionalFormatting sqref="B263">
    <cfRule type="duplicateValues" dxfId="118" priority="78"/>
  </conditionalFormatting>
  <conditionalFormatting sqref="B264">
    <cfRule type="duplicateValues" dxfId="117" priority="118"/>
  </conditionalFormatting>
  <conditionalFormatting sqref="B264:B265">
    <cfRule type="duplicateValues" dxfId="116" priority="117"/>
  </conditionalFormatting>
  <conditionalFormatting sqref="B264:B267">
    <cfRule type="duplicateValues" dxfId="115" priority="115"/>
  </conditionalFormatting>
  <conditionalFormatting sqref="B266">
    <cfRule type="duplicateValues" dxfId="114" priority="116"/>
  </conditionalFormatting>
  <conditionalFormatting sqref="B268:B269">
    <cfRule type="duplicateValues" dxfId="113" priority="113"/>
    <cfRule type="duplicateValues" dxfId="112" priority="114"/>
  </conditionalFormatting>
  <conditionalFormatting sqref="B268:B270">
    <cfRule type="duplicateValues" dxfId="111" priority="112"/>
  </conditionalFormatting>
  <conditionalFormatting sqref="B271">
    <cfRule type="duplicateValues" dxfId="110" priority="156"/>
  </conditionalFormatting>
  <conditionalFormatting sqref="B272:B273">
    <cfRule type="duplicateValues" dxfId="109" priority="110"/>
    <cfRule type="duplicateValues" dxfId="108" priority="111"/>
  </conditionalFormatting>
  <conditionalFormatting sqref="B272:B274">
    <cfRule type="duplicateValues" dxfId="107" priority="109"/>
  </conditionalFormatting>
  <conditionalFormatting sqref="B275">
    <cfRule type="duplicateValues" dxfId="106" priority="160"/>
  </conditionalFormatting>
  <conditionalFormatting sqref="B276">
    <cfRule type="duplicateValues" dxfId="105" priority="190"/>
  </conditionalFormatting>
  <conditionalFormatting sqref="B276:B278 B281:B286 B288:B289 B291">
    <cfRule type="duplicateValues" dxfId="104" priority="176"/>
  </conditionalFormatting>
  <conditionalFormatting sqref="B279">
    <cfRule type="duplicateValues" dxfId="103" priority="161"/>
  </conditionalFormatting>
  <conditionalFormatting sqref="B280">
    <cfRule type="duplicateValues" dxfId="102" priority="162"/>
  </conditionalFormatting>
  <conditionalFormatting sqref="B281">
    <cfRule type="duplicateValues" dxfId="101" priority="233"/>
    <cfRule type="duplicateValues" dxfId="100" priority="234"/>
  </conditionalFormatting>
  <conditionalFormatting sqref="B283">
    <cfRule type="duplicateValues" dxfId="99" priority="247"/>
    <cfRule type="duplicateValues" dxfId="98" priority="248"/>
  </conditionalFormatting>
  <conditionalFormatting sqref="B287">
    <cfRule type="duplicateValues" dxfId="97" priority="163"/>
  </conditionalFormatting>
  <conditionalFormatting sqref="B288">
    <cfRule type="duplicateValues" dxfId="96" priority="290"/>
  </conditionalFormatting>
  <conditionalFormatting sqref="B289">
    <cfRule type="duplicateValues" dxfId="95" priority="231"/>
  </conditionalFormatting>
  <conditionalFormatting sqref="B290">
    <cfRule type="duplicateValues" dxfId="94" priority="164"/>
  </conditionalFormatting>
  <conditionalFormatting sqref="B291">
    <cfRule type="duplicateValues" dxfId="93" priority="189"/>
  </conditionalFormatting>
  <conditionalFormatting sqref="B292:B295 B297:B298 B304:B311 B316:B319">
    <cfRule type="duplicateValues" dxfId="92" priority="175"/>
  </conditionalFormatting>
  <conditionalFormatting sqref="B296">
    <cfRule type="duplicateValues" dxfId="91" priority="19"/>
  </conditionalFormatting>
  <conditionalFormatting sqref="B299">
    <cfRule type="duplicateValues" dxfId="90" priority="77"/>
  </conditionalFormatting>
  <conditionalFormatting sqref="B300:B301">
    <cfRule type="duplicateValues" dxfId="89" priority="75"/>
    <cfRule type="duplicateValues" dxfId="88" priority="76"/>
  </conditionalFormatting>
  <conditionalFormatting sqref="B300:B302">
    <cfRule type="duplicateValues" dxfId="87" priority="72"/>
  </conditionalFormatting>
  <conditionalFormatting sqref="B300:B303">
    <cfRule type="duplicateValues" dxfId="86" priority="71"/>
  </conditionalFormatting>
  <conditionalFormatting sqref="B302">
    <cfRule type="duplicateValues" dxfId="85" priority="73"/>
    <cfRule type="duplicateValues" dxfId="84" priority="74"/>
  </conditionalFormatting>
  <conditionalFormatting sqref="B310">
    <cfRule type="duplicateValues" dxfId="83" priority="245"/>
  </conditionalFormatting>
  <conditionalFormatting sqref="B311">
    <cfRule type="duplicateValues" dxfId="82" priority="246"/>
  </conditionalFormatting>
  <conditionalFormatting sqref="B312:B313">
    <cfRule type="duplicateValues" dxfId="81" priority="107"/>
    <cfRule type="duplicateValues" dxfId="80" priority="108"/>
  </conditionalFormatting>
  <conditionalFormatting sqref="B312:B314">
    <cfRule type="duplicateValues" dxfId="79" priority="106"/>
  </conditionalFormatting>
  <conditionalFormatting sqref="B312:B315">
    <cfRule type="duplicateValues" dxfId="78" priority="105"/>
  </conditionalFormatting>
  <conditionalFormatting sqref="B317:B318">
    <cfRule type="duplicateValues" dxfId="77" priority="243"/>
    <cfRule type="duplicateValues" dxfId="76" priority="244"/>
  </conditionalFormatting>
  <conditionalFormatting sqref="B319">
    <cfRule type="duplicateValues" dxfId="75" priority="199"/>
  </conditionalFormatting>
  <conditionalFormatting sqref="B320:B323">
    <cfRule type="duplicateValues" dxfId="74" priority="174"/>
  </conditionalFormatting>
  <conditionalFormatting sqref="B321">
    <cfRule type="duplicateValues" dxfId="73" priority="263"/>
  </conditionalFormatting>
  <conditionalFormatting sqref="B324 B327">
    <cfRule type="duplicateValues" dxfId="72" priority="68"/>
  </conditionalFormatting>
  <conditionalFormatting sqref="B324">
    <cfRule type="duplicateValues" dxfId="71" priority="70"/>
  </conditionalFormatting>
  <conditionalFormatting sqref="B324:B325 B327">
    <cfRule type="duplicateValues" dxfId="70" priority="67"/>
  </conditionalFormatting>
  <conditionalFormatting sqref="B324:B327">
    <cfRule type="duplicateValues" dxfId="69" priority="66"/>
  </conditionalFormatting>
  <conditionalFormatting sqref="B327">
    <cfRule type="duplicateValues" dxfId="68" priority="69"/>
  </conditionalFormatting>
  <conditionalFormatting sqref="B328">
    <cfRule type="duplicateValues" dxfId="67" priority="64"/>
    <cfRule type="duplicateValues" dxfId="66" priority="65"/>
  </conditionalFormatting>
  <conditionalFormatting sqref="B328:B329">
    <cfRule type="duplicateValues" dxfId="65" priority="61"/>
  </conditionalFormatting>
  <conditionalFormatting sqref="B328:B331">
    <cfRule type="duplicateValues" dxfId="64" priority="60"/>
  </conditionalFormatting>
  <conditionalFormatting sqref="B329">
    <cfRule type="duplicateValues" dxfId="63" priority="62"/>
    <cfRule type="duplicateValues" dxfId="62" priority="63"/>
  </conditionalFormatting>
  <conditionalFormatting sqref="B332:B333">
    <cfRule type="duplicateValues" dxfId="61" priority="103"/>
    <cfRule type="duplicateValues" dxfId="60" priority="104"/>
  </conditionalFormatting>
  <conditionalFormatting sqref="B332:B334">
    <cfRule type="duplicateValues" dxfId="59" priority="102"/>
  </conditionalFormatting>
  <conditionalFormatting sqref="B335">
    <cfRule type="duplicateValues" dxfId="58" priority="101"/>
  </conditionalFormatting>
  <conditionalFormatting sqref="B336 B338">
    <cfRule type="duplicateValues" dxfId="57" priority="58"/>
    <cfRule type="duplicateValues" dxfId="56" priority="59"/>
  </conditionalFormatting>
  <conditionalFormatting sqref="B336:B338">
    <cfRule type="duplicateValues" dxfId="55" priority="55"/>
  </conditionalFormatting>
  <conditionalFormatting sqref="B336:B339">
    <cfRule type="duplicateValues" dxfId="54" priority="52"/>
  </conditionalFormatting>
  <conditionalFormatting sqref="B337">
    <cfRule type="duplicateValues" dxfId="53" priority="56"/>
    <cfRule type="duplicateValues" dxfId="52" priority="57"/>
  </conditionalFormatting>
  <conditionalFormatting sqref="B339">
    <cfRule type="duplicateValues" dxfId="51" priority="53"/>
    <cfRule type="duplicateValues" dxfId="50" priority="54"/>
  </conditionalFormatting>
  <conditionalFormatting sqref="B340">
    <cfRule type="duplicateValues" dxfId="49" priority="100"/>
  </conditionalFormatting>
  <conditionalFormatting sqref="B340:B341 B343">
    <cfRule type="duplicateValues" dxfId="48" priority="97"/>
  </conditionalFormatting>
  <conditionalFormatting sqref="B340:B341">
    <cfRule type="duplicateValues" dxfId="47" priority="98"/>
  </conditionalFormatting>
  <conditionalFormatting sqref="B340:B343">
    <cfRule type="duplicateValues" dxfId="46" priority="96"/>
  </conditionalFormatting>
  <conditionalFormatting sqref="B341">
    <cfRule type="duplicateValues" dxfId="45" priority="99"/>
  </conditionalFormatting>
  <conditionalFormatting sqref="B344:B345 B347">
    <cfRule type="duplicateValues" dxfId="44" priority="49"/>
  </conditionalFormatting>
  <conditionalFormatting sqref="B344:B345">
    <cfRule type="duplicateValues" dxfId="43" priority="50"/>
    <cfRule type="duplicateValues" dxfId="42" priority="51"/>
  </conditionalFormatting>
  <conditionalFormatting sqref="B346">
    <cfRule type="duplicateValues" dxfId="41" priority="29"/>
    <cfRule type="duplicateValues" dxfId="40" priority="30"/>
  </conditionalFormatting>
  <conditionalFormatting sqref="B348">
    <cfRule type="duplicateValues" dxfId="39" priority="47"/>
  </conditionalFormatting>
  <conditionalFormatting sqref="B277:B278 B6:B7 B1:B3 B10:B15 B18:B28 B32:B35 B37:B39 B42:B43 B50 B53 B55:B58 B62 B64:B74 B78 B80:B87 B89:B92 B94:B98 B100:B117 B119:B129 B131 B135:B136 B138 B140:B141 B144:B145 B148 B150:B164 B167:B169 B172:B179 B182:B188 B190:B196 B198:B202 B204:B207 B209:B213 B215:B221 B223:B229 B232:B233 B235:B236 B241:B244 B249 B251 B281:B286 B288:B289 B292:B295 B297:B298 B304:B311 B316:B318 B320:B323 B406:B1048576">
    <cfRule type="duplicateValues" dxfId="38" priority="534"/>
  </conditionalFormatting>
  <conditionalFormatting sqref="B277:B278 B6:B7 B1:B3 B10:B15 B18:B28 B32:B35 B37:B39 B42:B43 B50 B53 B55:B58 B62 B64:B74 B78 B80:B87 B89:B92 B94:B117 B119:B129 B131 B135:B136 B138 B140:B141 B144:B145 B148 B150:B164 B167:B169 B172:B179 B182:B188 B190:B196 B198:B202 B204:B207 B209:B213 B215:B221 B223:B229 B232:B233 B235:B236 B241:B244 B249 B251 B281:B286 B288:B289 B292:B295 B297:B298 B304:B311 B316:B318 B320:B323 B406:B1048576">
    <cfRule type="duplicateValues" dxfId="37" priority="582"/>
  </conditionalFormatting>
  <conditionalFormatting sqref="B277:B278 B6:B7 B1:B3 B10:B15 B18:B28 B32:B35 B37:B39 B42:B43 B50 B53 B55:B58 B62 B64:B74 B78 B80:B87 B89:B92 B94:B117 B119:B129 B131 B135:B138 B140:B141 B144:B148 B150:B164 B167:B169 B171:B179 B182:B207 B209:B213 B215:B221 B223:B229 B231:B233 B235:B236 B241:B244 B249:B251 B281:B286 B288:B289 B292:B295 B297:B298 B304:B311 B316:B318 B320:B323 B406:B1048576">
    <cfRule type="duplicateValues" dxfId="36" priority="629"/>
  </conditionalFormatting>
  <conditionalFormatting sqref="B277:B278 B6:B7 B1:B3 B10:B15 B18:B28 B32:B35 B37:B39 B42:B43 B50 B53 B55:B58 B62 B64:B74 B78 B80:B87 B89:B92 B94:B117 B119:B129 B131 B135:B138 B140:B141 B144:B148 B150:B164 B167:B169 B172:B179 B182:B188 B190:B196 B198:B202 B204:B207 B209:B213 B215:B221 B223:B229 B232:B233 B235:B236 B241:B244 B249 B251 B281:B286 B288:B289 B292:B295 B297:B298 B304:B311 B316:B318 B320:B323 B406:B1048576">
    <cfRule type="duplicateValues" dxfId="35" priority="670"/>
  </conditionalFormatting>
  <conditionalFormatting sqref="B277:B278 B6:B7 B1:B3 B10:B15 B18:B28 B32:B35 B37:B39 B42:B43 B50 B53 B55:B58 B62 B64:B74 B78 B80:B87 B89:B117 B119:B129 B131 B135:B138 B140:B141 B144:B148 B150:B164 B167:B169 B171:B179 B182:B207 B209:B213 B215:B221 B223:B229 B231:B233 B235:B236 B241:B244 B249:B251 B281:B286 B288:B289 B292:B295 B297:B298 B304:B311 B316:B318 B320:B323 B406:B1048576">
    <cfRule type="duplicateValues" dxfId="34" priority="715"/>
  </conditionalFormatting>
  <conditionalFormatting sqref="B277:B278 B6:B7 B1:B3 B10:B15 B18:B28 B32:B35 B37:B39 B42:B43 B50 B53 B55:B58 B64:B74 B78 B80:B85 B87 B89 B91:B92 B94:B98 B100:B102 B104:B117 B119:B129 B131 B136 B138 B140:B141 B144:B145 B148 B150:B156 B159:B164 B167 B169 B172:B179 B182:B188 B190:B196 B198:B202 B205:B207 B209:B211 B213 B215:B221 B223:B229 B232:B233 B235:B236 B241:B244 B249 B251 B282:B286 B288 B292:B295 B297:B298 B304:B311 B316:B318 B320:B323 B406:B1048576">
    <cfRule type="duplicateValues" dxfId="33" priority="755"/>
  </conditionalFormatting>
  <conditionalFormatting sqref="B277:B278 B6:B7 B1:B3 B10:B15 B18:B28 B32:B35 B37:B39 B42:B43 B50 B53 B55:B58 B64:B74 B78 B80:B85 B87 B89:B92 B94:B98 B100:B117 B119:B129 B131 B136 B138 B140:B141 B144:B145 B148 B150:B156 B158:B164 B167 B169 B172:B179 B182:B188 B190:B196 B198:B202 B205:B207 B209:B213 B215:B221 B223:B229 B232:B233 B235:B236 B241:B244 B249 B251 B281:B286 B288 B292:B295 B297:B298 B304:B311 B316:B318 B320:B323 B406:B1048576">
    <cfRule type="duplicateValues" dxfId="32" priority="808"/>
  </conditionalFormatting>
  <conditionalFormatting sqref="B277:B278 B6:B7 B1:B3 B10:B15 B18:B28 B32:B35 B37:B39 B42:B43 B50 B53 B55:B58 B64:B74 B78 B80:B85 B87 B89:B92 B94:B98 B100:B117 B119:B129 B131 B136 B138 B140:B141 B144:B145 B148 B150:B156 B158:B164 B167 B169 B172:B179 B182:B188 B190:B196 B198:B202 B205:B207 B209:B213 B215:B221 B223:B229 B232:B233 B235:B236 B241:B244 B249 B251 B281:B286 B288:B289 B292:B295 B297:B298 B304:B311 B316:B318 B320:B323 B406:B1048576">
    <cfRule type="duplicateValues" dxfId="31" priority="858"/>
  </conditionalFormatting>
  <conditionalFormatting sqref="B277:B278 B6:B7 B1:B3 B10:B15 B18:B28 B32:B35 B37:B39 B42:B43 B50 B53 B55:B58 B64:B74 B78 B80:B87 B89:B92 B94:B98 B100:B117 B119:B129 B131 B135:B136 B138 B140:B141 B144:B145 B148 B150:B156 B158:B164 B167 B169 B172:B179 B182:B188 B190:B196 B198:B202 B204:B207 B209:B213 B215:B221 B223:B229 B232:B233 B235:B236 B241:B244 B249 B251 B281:B286 B288:B289 B292:B295 B297:B298 B304:B311 B316:B318 B320:B323 B406:B1048576">
    <cfRule type="duplicateValues" dxfId="30" priority="908"/>
  </conditionalFormatting>
  <conditionalFormatting sqref="B277:B278 B6:B7 B1:B3 B10:B15 B18:B28 B32:B35 B38:B39 B42:B43 B50 B53 B55:B56 B64:B74 B78 B80:B85 B87 B89 B91:B92 B94:B98 B100:B102 B104:B117 B119:B129 B131 B136 B138 B140:B141 B144:B145 B148 B150:B156 B159:B164 B167 B169 B172:B179 B182:B188 B190:B196 B198:B202 B205:B207 B209:B211 B213 B215:B221 B223:B229 B232:B233 B235:B236 B241:B244 B249 B251 B282:B286 B288 B292:B295 B297:B298 B304:B311 B316:B318 B320:B321 B323 B406:B1048576">
    <cfRule type="duplicateValues" dxfId="29" priority="957"/>
  </conditionalFormatting>
  <conditionalFormatting sqref="B277:B278 B6:B7 B1:B3 B10:B15 B18:B28 B32:B35 B38:B39 B42:B43 B50 B53 B55:B56 B64:B74 B78 B80:B85 B87 B89 B91:B92 B94:B98 B100:B102 B104:B117 B119:B129 B131 B136 B138 B140:B141 B144:B145 B148 B150:B156 B159:B164 B167 B169 B172:B179 B182:B188 B190:B196 B198:B202 B205:B207 B209:B211 B213 B215:B221 B223:B229 B232:B233 B235:B236 B241:B244 B249 B282 B284:B286 B288 B292:B295 B297:B298 B304:B309 B320:B321 B323 B406:B1048576">
    <cfRule type="duplicateValues" dxfId="28" priority="1011"/>
  </conditionalFormatting>
  <conditionalFormatting sqref="B277:B278 B6:B7 B1:B3 B10:B15 B18:B28 B32:B35 B38:B39 B42:B43 B50 B53 B55:B58 B64:B74 B78 B80:B85 B87 B89 B91:B92 B94:B98 B100:B102 B104:B117 B119:B129 B131 B136 B138 B140:B141 B144:B145 B148 B150:B156 B159:B164 B167 B169 B172:B179 B182:B188 B190:B196 B198:B202 B205:B207 B209:B211 B213 B215:B221 B223:B229 B232:B233 B235:B236 B241:B244 B249 B251 B282:B286 B288 B292:B295 B297:B298 B304:B311 B316:B318 B320:B323 B406:B1048576">
    <cfRule type="duplicateValues" dxfId="27" priority="1065"/>
  </conditionalFormatting>
  <conditionalFormatting sqref="B277:B278 B10:B15 B1 B18:B28 B32:B35 B39 B42:B43 B50 B53 B55:B56 B64:B74 B78 B80:B85 B87 B89 B91:B92 B94:B98 B100:B102 B104:B116 B119:B127 B131 B140:B141 B144:B145 B148 B150:B156 B159:B164 B167 B169 B172:B176 B178:B179 B182 B184:B188 B190:B196 B198:B201 B205:B206 B209:B211 B213 B215:B220 B223:B224 B226:B229 B232:B233 B235:B236 B249 B282 B284:B286 B288 B292:B295 B297:B298 B304:B309 B320 B323 B406:B1048576">
    <cfRule type="duplicateValues" dxfId="26" priority="1118"/>
  </conditionalFormatting>
  <conditionalFormatting sqref="B277:B278 B10:B15 B1 B18:B28 B32:B35 B39 B42:B43 B50 B53 B55:B56 B64:B74 B78 B80:B85 B87 B89 B91:B92 B94:B98 B100:B102 B104:B116 B119:B127 B131 B140:B141 B144:B145 B148 B150:B156 B159:B164 B167 B169 B172:B179 B182:B188 B190:B196 B198:B201 B205:B206 B209:B211 B213 B215:B220 B223:B224 B226:B229 B232:B233 B235:B236 B249 B282 B284:B286 B288 B292:B295 B297:B298 B304:B309 B320 B323 B406:B1048576">
    <cfRule type="duplicateValues" dxfId="25" priority="1171"/>
  </conditionalFormatting>
  <conditionalFormatting sqref="B277:B278 B10:B15 B1 B18:B28 B32:B35 B39 B42:B43 B50 B53 B55:B56 B64:B74 B78 B80:B85 B87 B89 B91:B92 B94:B98 B100:B102 B104:B116 B119:B127 B131 B140:B141 B144:B145 B148 B150:B156 B159:B164 B167 B169 B172:B179 B182:B188 B190:B196 B198:B202 B205:B207 B209:B211 B213 B215:B220 B223:B224 B226:B229 B232:B233 B235:B236 B249 B282 B284:B286 B288 B292:B295 B297:B298 B304:B309 B320 B323 B406:B1048576">
    <cfRule type="duplicateValues" dxfId="24" priority="1222"/>
  </conditionalFormatting>
  <conditionalFormatting sqref="B276:B278 B10:B15 B1:B7 B18:B28 B30:B35 B37:B39 B42:B43 B50 B53 B55:B58 B62 B64:B74 B77:B78 B80:B87 B89:B117 B119:B129 B131 B135:B138 B140:B141 B144:B148 B150:B164 B166:B169 B171:B179 B181:B207 B209:B236 B241:B244 B249:B251 B281:B286 B288:B289 B291:B295 B297:B298 B304:B311 B316:B323 B406:B1048576">
    <cfRule type="duplicateValues" dxfId="23" priority="1273"/>
  </conditionalFormatting>
  <conditionalFormatting sqref="B271 B10:B15 B1:B7 B18:B28 B30:B35 B37:B39 B42:B43 B50 B53 B55:B58 B62 B64:B74 B77:B78 B80:B87 B89:B117 B119:B131 B135:B138 B140:B141 B144:B148 B150:B164 B166:B169 B171:B179 B181:B207 B209:B236 B241:B244 B249:B251 B275:B295 B297:B298 B304:B311 B316:B323 B406:B1048576">
    <cfRule type="duplicateValues" dxfId="22" priority="1307"/>
  </conditionalFormatting>
  <conditionalFormatting sqref="B10:B15">
    <cfRule type="duplicateValues" dxfId="21" priority="1338"/>
  </conditionalFormatting>
  <conditionalFormatting sqref="B276:B278 B10:B15 B1:B7 B18:B28 B30:B35 B37:B39 B42:B43 B50 B53 B55:B58 B62 B64:B74 B77:B78 B80:B87 B89:B117 B119:B131 B135:B138 B140:B141 B144:B148 B150:B164 B166:B169 B171:B179 B181:B207 B209:B236 B241:B244 B249:B251 B281:B286 B288:B289 B291:B295 B297:B298 B304:B311 B316:B323 B406:B1048576">
    <cfRule type="duplicateValues" dxfId="20" priority="1369"/>
  </conditionalFormatting>
  <conditionalFormatting sqref="B276:B278 B10:B15 B1:B7 B18:B28 B30:B35 B37:B39 B42:B43 B50 B53 B55:B58 B62 B64:B74 B78 B80:B87 B89:B117 B119:B129 B131 B135:B138 B140:B141 B144:B148 B150:B164 B166:B169 B171:B179 B181:B207 B209:B229 B231:B236 B241:B244 B249:B251 B281:B286 B288:B289 B291:B295 B297:B298 B304:B311 B316:B323 B406:B1048576">
    <cfRule type="duplicateValues" dxfId="19" priority="1402"/>
  </conditionalFormatting>
  <conditionalFormatting sqref="B276:B278 B10:B15 B1:B7 B18:B28 B30:B35 B37:B39 B42:B43 B50 B53 B55:B58 B62 B64:B74 B78 B80:B87 B89:B117 B119:B129 B131 B135:B138 B140:B141 B144:B148 B150:B164 B166:B169 B171:B179 B181:B207 B209:B236 B241:B244 B249:B251 B281:B286 B288:B289 B291:B295 B297:B298 B304:B311 B316:B323 B406:B1048576">
    <cfRule type="duplicateValues" dxfId="18" priority="1437"/>
  </conditionalFormatting>
  <conditionalFormatting sqref="B276:B278 B10:B15 B1:B7 B18:B28 B30:B35 B37:B39 B42:B43 B50 B53 B55:B58 B62 B64:B74 B78 B80:B87 B89:B117 B119:B129 B131 B135:B138 B140:B141 B144:B148 B150:B164 B167:B169 B171:B179 B181:B207 B209:B229 B231:B236 B241:B244 B249:B251 B281:B286 B288:B289 B291:B295 B297:B298 B304:B311 B316:B323 B406:B1048576">
    <cfRule type="duplicateValues" dxfId="17" priority="1471"/>
  </conditionalFormatting>
  <conditionalFormatting sqref="B277:B278 B10:B15 B1:B7 B18:B28 B32:B35 B37:B39 B42:B43 B50 B53 B55:B58 B62 B64:B74 B78 B80:B87 B89:B117 B119:B129 B131 B135:B138 B140:B141 B144:B148 B150:B164 B167:B169 B171:B179 B181:B207 B209:B213 B215:B229 B231:B233 B235:B236 B241:B244 B249:B251 B281:B286 B288:B289 B292:B295 B297:B298 B304:B311 B316:B323 B406:B1048576">
    <cfRule type="duplicateValues" dxfId="16" priority="1506"/>
  </conditionalFormatting>
  <conditionalFormatting sqref="B277:B278 B10:B15 B1:B7 B18:B28 B32:B35 B37:B39 B42:B43 B50 B53 B55:B58 B62 B64:B74 B78 B80:B87 B89:B117 B119:B129 B131 B135:B138 B140:B141 B144:B148 B150:B164 B167:B169 B171:B179 B181:B207 B209:B213 B215:B229 B231:B236 B241:B244 B249:B251 B281:B286 B288:B289 B292:B295 B297:B298 B304:B311 B316:B323 B406:B1048576">
    <cfRule type="duplicateValues" dxfId="15" priority="1543"/>
  </conditionalFormatting>
  <conditionalFormatting sqref="B276:B278 B10:B15 B1:B7 B18:B28 B32:B35 B37:B39 B42:B43 B50 B53 B55:B58 B62 B64:B74 B78 B80:B87 B89:B117 B119:B129 B131 B135:B138 B140:B141 B144:B148 B150:B164 B167:B169 B171:B179 B181:B207 B209:B229 B231:B236 B241:B244 B249:B251 B281:B286 B288:B289 B291:B295 B297:B298 B304:B311 B316:B323 B406:B1048576">
    <cfRule type="duplicateValues" dxfId="14" priority="1579"/>
  </conditionalFormatting>
  <conditionalFormatting sqref="B277:B278 B10:B15 B1:B7 B18:B28 B32:B35 B37:B39 B42:B43 B50 B53 B55:B58 B62 B64:B74 B78 B80:B87 B89:B117 B119:B129 B131 B135:B138 B140:B141 B144:B148 B150:B164 B167:B169 B171:B179 B181:B207 B209:B229 B231:B236 B241:B244 B249:B251 B281:B286 B288:B289 B292:B295 B297:B298 B304:B311 B316:B323 B406:B1048576">
    <cfRule type="duplicateValues" dxfId="13" priority="1614"/>
  </conditionalFormatting>
  <conditionalFormatting sqref="B277:B278 B10:B15 B1:B7 B18:B28 B32:B35 B37:B39 B42:B43 B50 B53 B55:B58 B62 B64:B74 B78 B80:B87 B89:B117 B119:B129 B131 B135:B138 B140:B141 B144:B148 B150:B164 B167:B169 B171:B179 B182:B207 B209:B213 B215:B221 B223:B229 B231:B233 B235:B236 B241:B244 B249:B251 B281:B286 B288:B289 B292:B295 B297:B298 B304:B311 B316:B318 B320:B323 B406:B1048576">
    <cfRule type="duplicateValues" dxfId="12" priority="1649"/>
  </conditionalFormatting>
  <conditionalFormatting sqref="B277:B278 B10:B15 B1:B7 B18:B28 B32:B35 B37:B39 B42:B43 B50 B53 B55:B58 B62 B64:B74 B78 B80:B87 B89:B117 B119:B129 B131 B135:B138 B140:B141 B144:B148 B150:B164 B167:B169 B171:B179 B182:B207 B209:B213 B215:B229 B231:B233 B235:B236 B241:B244 B249:B251 B281:B286 B288:B289 B292:B295 B297:B298 B304:B311 B316:B318 B320:B323 B406:B1048576">
    <cfRule type="duplicateValues" dxfId="11" priority="1688"/>
  </conditionalFormatting>
  <conditionalFormatting sqref="B277:B278 B10:B15 B1:B7 B18:B28 B32:B35 B37:B39 B42:B43 B50 B53 B55:B58 B62 B64:B74 B78 B80:B87 B89:B117 B119:B129 B131 B135:B138 B140:B141 B144:B148 B150:B164 B167:B169 B171:B179 B182:B207 B209:B213 B215:B229 B231:B233 B235:B236 B241:B244 B249:B251 B281:B286 B288:B289 B292:B295 B297:B298 B304:B311 B316:B323 B406:B1048576">
    <cfRule type="duplicateValues" dxfId="10" priority="1726"/>
  </conditionalFormatting>
  <conditionalFormatting sqref="B10:B15">
    <cfRule type="duplicateValues" dxfId="9" priority="1763"/>
  </conditionalFormatting>
  <conditionalFormatting sqref="B271 B10:B28 B1:B7 B30:B35 B37:B39 B42:B43 B50 B53 B55:B58 B62 B64:B74 B77:B78 B80:B87 B89:B117 B119:B131 B135:B138 B140:B141 B144:B148 B150:B164 B166:B169 B171:B179 B181:B207 B209:B236 B241:B244 B249:B251 B275:B295 B297:B298 B304:B311 B316:B323 B406:B1048576">
    <cfRule type="duplicateValues" dxfId="8" priority="1800"/>
  </conditionalFormatting>
  <conditionalFormatting sqref="B271 B10:B28 B1:B7 B30:B35 B37:B39 B42:B43 B50 B53 B55:B58 B62 B64:B74 B77:B78 B80:B117 B119:B131 B135:B138 B140:B141 B144:B148 B150:B164 B166:B169 B171:B179 B181:B207 B209:B236 B241:B244 B249:B251 B275:B295 B297:B298 B304:B311 B316:B323 B406:B1048576">
    <cfRule type="duplicateValues" dxfId="7" priority="1830"/>
  </conditionalFormatting>
  <conditionalFormatting sqref="B271 B10:B28 B1:B7 B30:B35 B37:B39 B42:B43 B50 B53 B55:B58 B62 B64:B74 B77:B78 B80:B117 B119:B131 B135:B138 B140:B141 B144:B148 B150:B164 B166:B179 B181:B207 B209:B236 B241:B244 B249:B251 B275:B295 B297:B298 B304:B311 B316:B323 B406:B1048576">
    <cfRule type="duplicateValues" dxfId="6" priority="1859"/>
  </conditionalFormatting>
  <conditionalFormatting sqref="B271 B10:B28 B1:B7 B30:B35 B37:B39 B42:B43 B50 B53 B55:B58 B62 B64:B74 B77:B78 B80:B117 B119:B131 B135:B138 B140:B141 B144:B148 B150:B179 B181:B207 B209:B236 B241:B244 B249:B251 B275:B295 B297:B298 B304:B311 B316:B323 B406:B1048576">
    <cfRule type="duplicateValues" dxfId="5" priority="1887"/>
  </conditionalFormatting>
  <conditionalFormatting sqref="B348">
    <cfRule type="duplicateValues" dxfId="4" priority="1914"/>
  </conditionalFormatting>
  <conditionalFormatting sqref="A1:A1048576">
    <cfRule type="duplicateValues" dxfId="3" priority="2"/>
  </conditionalFormatting>
  <conditionalFormatting sqref="B235:B236 B249">
    <cfRule type="duplicateValues" dxfId="2" priority="1915"/>
  </conditionalFormatting>
  <conditionalFormatting sqref="B241:B244 B249:B251">
    <cfRule type="duplicateValues" dxfId="1" priority="1917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花名册</vt:lpstr>
      <vt:lpstr>入住明细</vt:lpstr>
      <vt:lpstr>宿舍档案</vt:lpstr>
      <vt:lpstr>考勤班次</vt:lpstr>
      <vt:lpstr>员工班组</vt:lpstr>
      <vt:lpstr>部门</vt:lpstr>
      <vt:lpstr>6月 </vt:lpstr>
      <vt:lpstr>Sheet3</vt:lpstr>
      <vt:lpstr>BAK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PC201</dc:creator>
  <cp:lastModifiedBy>巍 刘</cp:lastModifiedBy>
  <dcterms:created xsi:type="dcterms:W3CDTF">2023-10-13T06:33:00Z</dcterms:created>
  <dcterms:modified xsi:type="dcterms:W3CDTF">2026-07-14T03:30:28Z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E28851585E744857B8AF7C864E86663D_13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